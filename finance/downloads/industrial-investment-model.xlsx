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742de6da8142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312497dbf946ef"/>
    <x:sheet xmlns:r="http://schemas.openxmlformats.org/officeDocument/2006/relationships" name="Assumptions" sheetId="2" r:id="R0b8b89fbf58343e6"/>
    <x:sheet xmlns:r="http://schemas.openxmlformats.org/officeDocument/2006/relationships" name="Forecast" sheetId="3" r:id="R2a59721b398a4c74"/>
    <x:sheet xmlns:r="http://schemas.openxmlformats.org/officeDocument/2006/relationships" name="Debt" sheetId="4" r:id="R49c8552a53704b18"/>
    <x:sheet xmlns:r="http://schemas.openxmlformats.org/officeDocument/2006/relationships" name="Valuation" sheetId="5" r:id="R0c509c3e00554a74"/>
    <x:sheet xmlns:r="http://schemas.openxmlformats.org/officeDocument/2006/relationships" name="Operations" sheetId="6" r:id="Redf9a12934dc41a0"/>
    <x:sheet xmlns:r="http://schemas.openxmlformats.org/officeDocument/2006/relationships" name="Company Screen" sheetId="7" r:id="R625dd686e38c472b"/>
    <x:sheet xmlns:r="http://schemas.openxmlformats.org/officeDocument/2006/relationships" name="Inputs" sheetId="8" r:id="Rebbc37977c3546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.0;(#,##0.0);&quot;-&quot;"/>
    <x:numFmt numFmtId="201" formatCode="0&quot;E&quot;"/>
    <x:numFmt numFmtId="202" formatCode="0"/>
    <x:numFmt numFmtId="203" formatCode="0.0%;(0.0%);&quot;-&quot;"/>
    <x:numFmt numFmtId="204" formatCode="0.00%"/>
    <x:numFmt numFmtId="205" formatCode="0.00&quot;x&quot;"/>
    <x:numFmt numFmtId="206" formatCode="0.000x"/>
    <x:numFmt numFmtId="207" formatCode="0.00;(0.00);0.00"/>
    <x:numFmt numFmtId="208" formatCode="0.0&quot;x&quot;"/>
  </x:numFmts>
  <x:fonts count="15">
    <x:font>
      <x:sz val="11"/>
      <x:name val="Carlito"/>
    </x:font>
    <x:font>
      <x:sz val="10"/>
      <x:color rgb="FF000000"/>
      <x:name val="Arial"/>
    </x:font>
    <x:font>
      <x:b/>
      <x:sz val="16"/>
      <x:color rgb="FF12263C"/>
      <x:name val="Arial"/>
    </x:font>
    <x:font>
      <x:sz val="10"/>
      <x:color rgb="FF008000"/>
      <x:name val="Arial"/>
    </x:font>
    <x:font>
      <x:b/>
      <x:sz val="10"/>
      <x:color rgb="FFFFFFFF"/>
      <x:name val="Arial"/>
    </x:font>
    <x:font>
      <x:sz val="10"/>
      <x:color rgb="FF0000CC"/>
      <x:name val="Arial"/>
    </x:font>
    <x:font>
      <x:i/>
      <x:sz val="10"/>
      <x:color rgb="FF607080"/>
      <x:name val="Arial"/>
    </x:font>
    <x:font>
      <x:b/>
      <x:sz val="10"/>
      <x:color rgb="FF000000"/>
      <x:name val="Arial"/>
    </x:font>
    <x:font>
      <x:i/>
      <x:sz val="10"/>
      <x:color rgb="FF000000"/>
      <x:name val="Arial"/>
    </x:font>
    <x:font>
      <x:i/>
      <x:sz val="10"/>
      <x:color rgb="FF0000CC"/>
      <x:name val="Arial"/>
    </x:font>
    <x:font>
      <x:b/>
      <x:i/>
      <x:sz val="10"/>
      <x:color rgb="FF000000"/>
      <x:name val="Arial"/>
    </x:font>
    <x:font>
      <x:i/>
      <x:sz val="10"/>
      <x:color rgb="FF008000"/>
      <x:name val="Arial"/>
    </x:font>
    <x:font>
      <x:b/>
      <x:sz val="10"/>
      <x:color rgb="FF008000"/>
      <x:name val="Arial"/>
    </x:font>
    <x:font>
      <x:sz val="10"/>
      <x:color rgb="FF12263C"/>
      <x:name val="Arial"/>
    </x:font>
    <x:font>
      <x:b/>
      <x:sz val="10"/>
      <x:color rgb="FF12263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2263C"/>
      </x:patternFill>
    </x:fill>
    <x:fill>
      <x:patternFill patternType="solid">
        <x:fgColor rgb="FFFFF6D8"/>
      </x:patternFill>
    </x:fill>
    <x:fill>
      <x:patternFill patternType="solid">
        <x:fgColor rgb="FFEAF0F6"/>
      </x:patternFill>
    </x:fill>
  </x:fills>
  <x:borders count="4">
    <x:border/>
    <x:border>
      <x:bottom style="thin">
        <x:color rgb="FFBCC9D6"/>
      </x:bottom>
    </x:border>
    <x:border>
      <x:left style="dotted">
        <x:color rgb="FF8B9CAE"/>
      </x:left>
      <x:right style="dotted">
        <x:color rgb="FF8B9CAE"/>
      </x:right>
      <x:top style="dotted">
        <x:color rgb="FF8B9CAE"/>
      </x:top>
      <x:bottom style="dotted">
        <x:color rgb="FF8B9CAE"/>
      </x:bottom>
    </x:border>
    <x:border>
      <x:top style="thin">
        <x:color rgb="FFA8B7C6"/>
      </x:top>
    </x:border>
  </x:borders>
  <x:cellStyleXfs count="1">
    <x:xf numFmtId="0" fontId="0" fillId="0" borderId="0"/>
  </x:cellStyleXfs>
  <x:cellXfs count="7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horizontal="center" vertical="center"/>
    </x:xf>
    <x:xf numFmtId="201" fontId="4" fillId="2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vertical="center"/>
    </x:xf>
    <x:xf numFmtId="200" fontId="7" fillId="0" borderId="3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5" fontId="5" fillId="3" borderId="0" xfId="0" applyNumberFormat="1" applyFont="1" applyFill="1" applyBorder="1" applyAlignment="1">
      <x:alignment vertical="center"/>
    </x:xf>
    <x:xf numFmtId="205" fontId="7" fillId="0" borderId="3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0" fontId="10" fillId="0" borderId="3" xfId="0" applyNumberFormat="1" applyFont="1" applyFill="1" applyBorder="1" applyAlignment="1">
      <x:alignment vertical="center"/>
    </x:xf>
    <x:xf numFmtId="203" fontId="10" fillId="0" borderId="3" xfId="0" applyNumberFormat="1" applyFont="1" applyFill="1" applyBorder="1" applyAlignment="1">
      <x:alignment vertical="center"/>
    </x:xf>
    <x:xf numFmtId="203" fontId="9" fillId="3" borderId="0" xfId="0" applyNumberFormat="1" applyFont="1" applyFill="1" applyBorder="1" applyAlignment="1">
      <x:alignment vertical="center"/>
    </x:xf>
    <x:xf numFmtId="203" fontId="11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0" fontId="12" fillId="0" borderId="0" xfId="0" applyNumberFormat="1" applyFont="1" applyFill="1" applyBorder="1" applyAlignment="1">
      <x:alignment vertical="center"/>
    </x:xf>
    <x:xf numFmtId="200" fontId="12" fillId="0" borderId="3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205" fontId="1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3" fontId="7" fillId="0" borderId="3" xfId="0" applyNumberFormat="1" applyFont="1" applyFill="1" applyBorder="1" applyAlignment="1">
      <x:alignment vertical="center"/>
    </x:xf>
    <x:xf numFmtId="200" fontId="13" fillId="0" borderId="0" xfId="0" applyNumberFormat="1" applyFont="1" applyFill="1" applyBorder="1" applyAlignment="1">
      <x:alignment vertical="center"/>
    </x:xf>
    <x:xf numFmtId="203" fontId="13" fillId="0" borderId="0" xfId="0" applyNumberFormat="1" applyFont="1" applyFill="1" applyBorder="1" applyAlignment="1">
      <x:alignment vertical="center"/>
    </x:xf>
    <x:xf numFmtId="205" fontId="13" fillId="0" borderId="0" xfId="0" applyNumberFormat="1" applyFont="1" applyFill="1" applyBorder="1" applyAlignment="1">
      <x:alignment vertical="center"/>
    </x:xf>
    <x:xf numFmtId="200" fontId="14" fillId="0" borderId="0" xfId="0" applyNumberFormat="1" applyFont="1" applyFill="1" applyBorder="1" applyAlignment="1">
      <x:alignment vertical="center"/>
    </x:xf>
    <x:xf numFmtId="200" fontId="14" fillId="0" borderId="3" xfId="0" applyNumberFormat="1" applyFont="1" applyFill="1" applyBorder="1" applyAlignment="1">
      <x:alignment vertical="center"/>
    </x:xf>
    <x:xf numFmtId="203" fontId="14" fillId="0" borderId="0" xfId="0" applyNumberFormat="1" applyFont="1" applyFill="1" applyBorder="1" applyAlignment="1">
      <x:alignment vertical="center"/>
    </x:xf>
    <x:xf numFmtId="203" fontId="14" fillId="0" borderId="3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A33E38"/>
      </x:font>
      <x:fill>
        <x:patternFill patternType="solid">
          <x:bgColor rgb="FFFCE3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a039227bc4433a" /><Relationship Type="http://schemas.openxmlformats.org/officeDocument/2006/relationships/theme" Target="/xl/theme/theme1.xml" Id="R601bd492170c450c" /><Relationship Type="http://schemas.openxmlformats.org/officeDocument/2006/relationships/sharedStrings" Target="/xl/sharedStrings.xml" Id="R8071c9826cc04696" /><Relationship Type="http://schemas.openxmlformats.org/officeDocument/2006/relationships/worksheet" Target="/xl/worksheets/sheet1.xml" Id="R13312497dbf946ef" /><Relationship Type="http://schemas.openxmlformats.org/officeDocument/2006/relationships/worksheet" Target="/xl/worksheets/sheet2.xml" Id="R0b8b89fbf58343e6" /><Relationship Type="http://schemas.openxmlformats.org/officeDocument/2006/relationships/worksheet" Target="/xl/worksheets/sheet3.xml" Id="R2a59721b398a4c74" /><Relationship Type="http://schemas.openxmlformats.org/officeDocument/2006/relationships/worksheet" Target="/xl/worksheets/sheet4.xml" Id="R49c8552a53704b18" /><Relationship Type="http://schemas.openxmlformats.org/officeDocument/2006/relationships/worksheet" Target="/xl/worksheets/sheet5.xml" Id="R0c509c3e00554a74" /><Relationship Type="http://schemas.openxmlformats.org/officeDocument/2006/relationships/worksheet" Target="/xl/worksheets/sheet6.xml" Id="Redf9a12934dc41a0" /><Relationship Type="http://schemas.openxmlformats.org/officeDocument/2006/relationships/worksheet" Target="/xl/worksheets/sheet7.xml" Id="R625dd686e38c472b" /><Relationship Type="http://schemas.openxmlformats.org/officeDocument/2006/relationships/worksheet" Target="/xl/worksheets/sheet8.xml" Id="Rebbc37977c3546cf" /></Relationships>
</file>

<file path=xl/tables/table1.xml><?xml version="1.0" encoding="utf-8"?>
<x:table xmlns:x="http://schemas.openxmlformats.org/spreadsheetml/2006/main" id="1" name="IndustrialCompanies" displayName="IndustrialCompanies" ref="C7:L12" headerRowCount="1" totalsRowCount="0" totalsRowShown="0">
  <x:tableColumns count="10">
    <x:tableColumn id="1" name="Company"/>
    <x:tableColumn id="2" name="Ticker"/>
    <x:tableColumn id="3" name="Revenue"/>
    <x:tableColumn id="4" name="Growth"/>
    <x:tableColumn id="5" name="EBITDA"/>
    <x:tableColumn id="6" name="Margin"/>
    <x:tableColumn id="7" name="FCF"/>
    <x:tableColumn id="8" name="FCF / EBITDA"/>
    <x:tableColumn id="9" name="Net leverage"/>
    <x:tableColumn id="10" name="Fiscal year e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0811e24f6b764f9b" /></Relationships>
</file>

<file path=xl/worksheets/sheet1.xml><?xml version="1.0" encoding="utf-8"?>
<x:worksheet xmlns:x="http://schemas.openxmlformats.org/spreadsheetml/2006/main">
  <x:sheetPr>
    <x:tabColor rgb="FF12263C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0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2"/>
      <x:c r="B2" s="2"/>
      <x:c r="C2" s="4" t="str">
        <x:v>Gorman-Rupp investment analysis</x:v>
      </x:c>
      <x:c r="D2" s="5"/>
      <x:c r="E2" s="5"/>
      <x:c r="F2" s="5"/>
      <x:c r="G2" s="5"/>
      <x:c r="H2" s="5"/>
      <x:c r="I2" s="5"/>
      <x:c r="J2" s="3"/>
      <x:c r="K2" s="3"/>
      <x:c r="L2" s="3"/>
      <x:c r="M2" s="3"/>
      <x:c r="N2" s="3"/>
      <x:c r="O2" s="3"/>
      <x:c r="P2" s="3"/>
    </x:row>
    <x:row r="3" ht="20" customHeight="1">
      <x:c r="A3" s="2"/>
      <x:c r="B3" s="2"/>
      <x:c r="C3" s="6"/>
      <x:c r="D3" s="7"/>
      <x:c r="E3" s="7"/>
      <x:c r="F3" s="7"/>
      <x:c r="G3" s="7"/>
      <x:c r="H3" s="7"/>
      <x:c r="I3" s="7"/>
      <x:c r="J3" s="3"/>
      <x:c r="K3" s="3"/>
      <x:c r="L3" s="3"/>
      <x:c r="M3" s="3"/>
      <x:c r="N3" s="3"/>
      <x:c r="O3" s="3"/>
      <x:c r="P3" s="3"/>
    </x:row>
    <x:row r="4" ht="20" customHeight="1">
      <x:c r="A4" s="2"/>
      <x:c r="B4" s="2"/>
      <x:c r="C4" s="2" t="str">
        <x:v>Case selected</x:v>
      </x:c>
      <x:c r="D4" s="3"/>
      <x:c r="E4" s="10" t="str">
        <x:f>'Assumptions'!E5</x:f>
        <x:v>Base</x:v>
      </x:c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20" customHeight="1">
      <x:c r="A5" s="2"/>
      <x:c r="B5" s="2"/>
      <x:c r="C5" s="21" t="str">
        <x:v>USD millions. Independent hypothetical acquisition, based on FY2025 financials.</x:v>
      </x:c>
      <x:c r="D5" s="22"/>
      <x:c r="E5" s="22"/>
      <x:c r="F5" s="22"/>
      <x:c r="G5" s="22"/>
      <x:c r="H5" s="22"/>
      <x:c r="I5" s="22"/>
      <x:c r="J5" s="3"/>
      <x:c r="K5" s="3"/>
      <x:c r="L5" s="3"/>
      <x:c r="M5" s="3"/>
      <x:c r="N5" s="3"/>
      <x:c r="O5" s="3"/>
      <x:c r="P5" s="3"/>
    </x:row>
    <x:row r="6" ht="20" customHeight="1">
      <x:c r="A6" s="2"/>
      <x:c r="B6" s="2"/>
      <x:c r="C6" s="2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7" ht="20" customHeight="1">
      <x:c r="A7" s="2"/>
      <x:c r="B7" s="2"/>
      <x:c r="C7" s="2" t="str">
        <x:v>Entry enterprise value</x:v>
      </x:c>
      <x:c r="D7" s="3"/>
      <x:c r="E7" s="56" t="n">
        <x:f>'Valuation'!E8</x:f>
        <x:v>1230.72</x:v>
      </x:c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</x:row>
    <x:row r="8" ht="20" customHeight="1">
      <x:c r="A8" s="2"/>
      <x:c r="B8" s="2"/>
      <x:c r="C8" s="2" t="str">
        <x:v>Initial debt</x:v>
      </x:c>
      <x:c r="D8" s="3"/>
      <x:c r="E8" s="56" t="n">
        <x:f>'Valuation'!E9</x:f>
        <x:v>553.8240000000001</x:v>
      </x:c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  <x:row r="9" ht="20" customHeight="1">
      <x:c r="A9" s="2"/>
      <x:c r="B9" s="2"/>
      <x:c r="C9" s="28" t="str">
        <x:v>Sponsor equity</x:v>
      </x:c>
      <x:c r="D9" s="29"/>
      <x:c r="E9" s="60" t="n">
        <x:f>'Valuation'!E13</x:f>
        <x:v>732.5868800000001</x:v>
      </x:c>
      <x:c r="F9" s="29"/>
      <x:c r="G9" s="29"/>
      <x:c r="H9" s="29"/>
      <x:c r="I9" s="29"/>
      <x:c r="J9" s="3"/>
      <x:c r="K9" s="3"/>
      <x:c r="L9" s="3"/>
      <x:c r="M9" s="3"/>
      <x:c r="N9" s="3"/>
      <x:c r="O9" s="3"/>
      <x:c r="P9" s="3"/>
    </x:row>
    <x:row r="10" ht="20" customHeight="1">
      <x:c r="A10" s="2"/>
      <x:c r="B10" s="2"/>
      <x:c r="C10" s="2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</x:row>
    <x:row r="11" ht="20" customHeight="1">
      <x:c r="A11" s="2"/>
      <x:c r="B11" s="2"/>
      <x:c r="C11" s="28" t="str">
        <x:v>Five-year gross sponsor IRR</x:v>
      </x:c>
      <x:c r="D11" s="29"/>
      <x:c r="E11" s="62" t="n">
        <x:f>'Valuation'!E35</x:f>
        <x:v>0.07918221317956498</x:v>
      </x:c>
      <x:c r="F11" s="29"/>
      <x:c r="G11" s="29"/>
      <x:c r="H11" s="29"/>
      <x:c r="I11" s="29"/>
      <x:c r="J11" s="3"/>
      <x:c r="K11" s="3"/>
      <x:c r="L11" s="3"/>
      <x:c r="M11" s="3"/>
      <x:c r="N11" s="3"/>
      <x:c r="O11" s="3"/>
      <x:c r="P11" s="3"/>
    </x:row>
    <x:row r="12" ht="20" customHeight="1">
      <x:c r="A12" s="2"/>
      <x:c r="B12" s="2"/>
      <x:c r="C12" s="2" t="str">
        <x:v>Gross invested capital multiple</x:v>
      </x:c>
      <x:c r="D12" s="3"/>
      <x:c r="E12" s="58" t="n">
        <x:f>'Valuation'!E34</x:f>
        <x:v>1.4637735453615164</x:v>
      </x:c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 ht="20" customHeight="1">
      <x:c r="A13" s="2"/>
      <x:c r="B13" s="2"/>
      <x:c r="C13" s="2" t="str">
        <x:v>Target equity IRR</x:v>
      </x:c>
      <x:c r="D13" s="3"/>
      <x:c r="E13" s="57" t="n">
        <x:f>'Assumptions'!E26</x:f>
        <x:v>0.2</x:v>
      </x:c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</x:row>
    <x:row r="14" ht="20" customHeight="1">
      <x:c r="A14" s="2"/>
      <x:c r="B14" s="2"/>
      <x:c r="C14" s="2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</x:row>
    <x:row r="15" ht="20" customHeight="1">
      <x:c r="A15" s="2"/>
      <x:c r="B15" s="2"/>
      <x:c r="C15" s="28" t="str">
        <x:v>Maximum EV at target IRR</x:v>
      </x:c>
      <x:c r="D15" s="29"/>
      <x:c r="E15" s="60" t="n">
        <x:f>'Valuation'!E36</x:f>
        <x:v>934.9974861333847</x:v>
      </x:c>
      <x:c r="F15" s="29"/>
      <x:c r="G15" s="29"/>
      <x:c r="H15" s="29"/>
      <x:c r="I15" s="29"/>
      <x:c r="J15" s="3"/>
      <x:c r="K15" s="3"/>
      <x:c r="L15" s="3"/>
      <x:c r="M15" s="3"/>
      <x:c r="N15" s="3"/>
      <x:c r="O15" s="3"/>
      <x:c r="P15" s="3"/>
    </x:row>
    <x:row r="16" ht="20" customHeight="1">
      <x:c r="A16" s="2"/>
      <x:c r="B16" s="2"/>
      <x:c r="C16" s="2" t="str">
        <x:v>Maximum entry EV / EBITDA</x:v>
      </x:c>
      <x:c r="D16" s="3"/>
      <x:c r="E16" s="58" t="n">
        <x:f>'Valuation'!E37</x:f>
        <x:v>7.597158461172197</x:v>
      </x:c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 ht="20" customHeight="1">
      <x:c r="A17" s="2"/>
      <x:c r="B17" s="2"/>
      <x:c r="C17" s="2" t="str">
        <x:v>DCF enterprise value</x:v>
      </x:c>
      <x:c r="D17" s="3"/>
      <x:c r="E17" s="56" t="n">
        <x:f>'Valuation'!E51</x:f>
        <x:v>892.5856406199086</x:v>
      </x:c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 ht="20" customHeight="1">
      <x:c r="A18" s="2"/>
      <x:c r="B18" s="2"/>
      <x:c r="C18" s="2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 ht="20" customHeight="1">
      <x:c r="A19" s="2"/>
      <x:c r="B19" s="2"/>
      <x:c r="C19" s="2" t="str">
        <x:v>Peak funding shortfall</x:v>
      </x:c>
      <x:c r="D19" s="3"/>
      <x:c r="E19" s="56" t="n">
        <x:f>MAX('Debt'!E15:I15)</x:f>
        <x:v>0</x:v>
      </x:c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 ht="20" customHeight="1">
      <x:c r="A20" s="2"/>
      <x:c r="B20" s="2"/>
      <x:c r="C20" s="2" t="str">
        <x:v>Minimum interest coverage</x:v>
      </x:c>
      <x:c r="D20" s="3"/>
      <x:c r="E20" s="58" t="n">
        <x:f>IF(COUNT('Debt'!E22:I22)=0,"n.a.",MIN('Debt'!E22:I22))</x:f>
        <x:v>2.8888888888888884</x:v>
      </x:c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 ht="20" customHeight="1">
      <x:c r="A21" s="2"/>
      <x:c r="B21" s="2"/>
      <x:c r="C21" s="2" t="str">
        <x:v>Maximum year-end net leverage</x:v>
      </x:c>
      <x:c r="D21" s="3"/>
      <x:c r="E21" s="58" t="n">
        <x:f>IF(COUNT('Debt'!E23:I23)&lt;5,"n.a.",MAX('Debt'!E23:I23))</x:f>
        <x:v>3.8399020798331938</x:v>
      </x:c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 ht="20" customHeight="1">
      <x:c r="A22" s="2"/>
      <x:c r="B22" s="2"/>
      <x:c r="C22" s="2" t="str">
        <x:v>Illustrative credit tests</x:v>
      </x:c>
      <x:c r="D22" s="3"/>
      <x:c r="E22" s="8" t="str">
        <x:f>IF(AND(E19&lt;0.00000001,ISNUMBER(E21),E21&lt;='Assumptions'!E56,OR(COUNT('Debt'!E22:I22)=0,E20&gt;='Assumptions'!E57)),"Pass","Fail")</x:f>
        <x:v>Pass</x:v>
      </x:c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 ht="20" customHeight="1">
      <x:c r="A23" s="2"/>
      <x:c r="B23" s="2"/>
      <x:c r="C23" s="2" t="str">
        <x:v>Return conclusion</x:v>
      </x:c>
      <x:c r="D23" s="3"/>
      <x:c r="E23" s="56" t="str">
        <x:f>IF(ISNUMBER(E11),IF(E11&gt;=E13,"Meets return hurdle","Below return hurdle"),"Funding / input issue")</x:f>
        <x:v>Below return hurdle</x:v>
      </x:c>
      <x:c r="F23" s="56"/>
      <x:c r="G23" s="56"/>
      <x:c r="H23" s="56"/>
      <x:c r="I23" s="56"/>
      <x:c r="J23" s="3"/>
      <x:c r="K23" s="3"/>
      <x:c r="L23" s="3"/>
      <x:c r="M23" s="3"/>
      <x:c r="N23" s="3"/>
      <x:c r="O23" s="3"/>
      <x:c r="P23" s="3"/>
    </x:row>
    <x:row r="24" ht="20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 ht="20" customHeight="1">
      <x:c r="A25" s="2"/>
      <x:c r="B25" s="2"/>
      <x:c r="C25" s="21" t="str">
        <x:v>Change the scenario and inputs on Assumptions; all linked outputs recalculate.</x:v>
      </x:c>
      <x:c r="D25" s="22"/>
      <x:c r="E25" s="22"/>
      <x:c r="F25" s="22"/>
      <x:c r="G25" s="22"/>
      <x:c r="H25" s="22"/>
      <x:c r="I25" s="22"/>
      <x:c r="J25" s="3"/>
      <x:c r="K25" s="3"/>
      <x:c r="L25" s="3"/>
      <x:c r="M25" s="3"/>
      <x:c r="N25" s="3"/>
      <x:c r="O25" s="3"/>
      <x:c r="P25" s="3"/>
    </x:row>
    <x:row r="26" ht="20" customHeight="1">
      <x:c r="A26" s="2"/>
      <x:c r="B26" s="2"/>
      <x:c r="C26" s="21" t="str">
        <x:v>The web demo adds live two-variable sensitivities and a with/without-plan comparison.</x:v>
      </x:c>
      <x:c r="D26" s="22"/>
      <x:c r="E26" s="22"/>
      <x:c r="F26" s="22"/>
      <x:c r="G26" s="22"/>
      <x:c r="H26" s="22"/>
      <x:c r="I26" s="22"/>
      <x:c r="J26" s="3"/>
      <x:c r="K26" s="3"/>
      <x:c r="L26" s="3"/>
      <x:c r="M26" s="3"/>
      <x:c r="N26" s="3"/>
      <x:c r="O26" s="3"/>
      <x:c r="P26" s="3"/>
    </x:row>
    <x:row r="27" ht="20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 ht="26" customHeight="1">
      <x:c r="A28" s="2"/>
      <x:c r="B28" s="2"/>
      <x:c r="C28" s="65" t="str">
        <x:v>Exit-multiple sensitivity (current entry price and financing)</x:v>
      </x:c>
      <x:c r="D28" s="66"/>
      <x:c r="E28" s="66"/>
      <x:c r="F28" s="66"/>
      <x:c r="G28" s="66"/>
      <x:c r="H28" s="66"/>
      <x:c r="I28" s="66"/>
      <x:c r="J28" s="3"/>
      <x:c r="K28" s="3"/>
      <x:c r="L28" s="3"/>
      <x:c r="M28" s="3"/>
      <x:c r="N28" s="3"/>
      <x:c r="O28" s="3"/>
      <x:c r="P28" s="3"/>
    </x:row>
    <x:row r="29" ht="20" customHeight="1">
      <x:c r="A29" s="2"/>
      <x:c r="B29" s="2"/>
      <x:c r="C29" s="2"/>
      <x:c r="D29" s="3"/>
      <x:c r="E29" s="67" t="n">
        <x:v>7</x:v>
      </x:c>
      <x:c r="F29" s="67" t="n">
        <x:v>8</x:v>
      </x:c>
      <x:c r="G29" s="67" t="n">
        <x:v>9</x:v>
      </x:c>
      <x:c r="H29" s="67" t="n">
        <x:v>10</x:v>
      </x:c>
      <x:c r="I29" s="67" t="n">
        <x:v>11</x:v>
      </x:c>
      <x:c r="J29" s="3"/>
      <x:c r="K29" s="3"/>
      <x:c r="L29" s="3"/>
      <x:c r="M29" s="3"/>
      <x:c r="N29" s="3"/>
      <x:c r="O29" s="3"/>
      <x:c r="P29" s="3"/>
    </x:row>
    <x:row r="30" ht="20" customHeight="1">
      <x:c r="A30" s="2"/>
      <x:c r="B30" s="2"/>
      <x:c r="C30" s="2" t="str">
        <x:v>Gross sponsor IRR</x:v>
      </x:c>
      <x:c r="D30" s="3"/>
      <x:c r="E30" s="57" t="n">
        <x:f>IF(ISNUMBER($E$11),(MAX(0,'Valuation'!$E$28*E$29*(1-'Assumptions'!$E$19)-'Valuation'!$E$31+'Valuation'!$E$32)/'Valuation'!$E$13)^(1/5)-1,"n.a.")</x:f>
        <x:v>0.011545250731898937</x:v>
      </x:c>
      <x:c r="F30" s="57" t="n">
        <x:f>IF(ISNUMBER($E$11),(MAX(0,'Valuation'!$E$28*F$29*(1-'Assumptions'!$E$19)-'Valuation'!$E$31+'Valuation'!$E$32)/'Valuation'!$E$13)^(1/5)-1,"n.a.")</x:f>
        <x:v>0.04754388253962061</x:v>
      </x:c>
      <x:c r="G30" s="57" t="n">
        <x:f>IF(ISNUMBER($E$11),(MAX(0,'Valuation'!$E$28*G$29*(1-'Assumptions'!$E$19)-'Valuation'!$E$31+'Valuation'!$E$32)/'Valuation'!$E$13)^(1/5)-1,"n.a.")</x:f>
        <x:v>0.07918221317956498</x:v>
      </x:c>
      <x:c r="H30" s="57" t="n">
        <x:f>IF(ISNUMBER($E$11),(MAX(0,'Valuation'!$E$28*H$29*(1-'Assumptions'!$E$19)-'Valuation'!$E$31+'Valuation'!$E$32)/'Valuation'!$E$13)^(1/5)-1,"n.a.")</x:f>
        <x:v>0.10749407461139437</x:v>
      </x:c>
      <x:c r="I30" s="57" t="n">
        <x:f>IF(ISNUMBER($E$11),(MAX(0,'Valuation'!$E$28*I$29*(1-'Assumptions'!$E$19)-'Valuation'!$E$31+'Valuation'!$E$32)/'Valuation'!$E$13)^(1/5)-1,"n.a.")</x:f>
        <x:v>0.13317592435386683</x:v>
      </x:c>
      <x:c r="J30" s="3"/>
      <x:c r="K30" s="3"/>
      <x:c r="L30" s="3"/>
      <x:c r="M30" s="3"/>
      <x:c r="N30" s="3"/>
      <x:c r="O30" s="3"/>
      <x:c r="P30" s="3"/>
    </x:row>
    <x:row r="31" ht="20" customHeight="1">
      <x:c r="A31" s="2"/>
      <x:c r="B31" s="2"/>
      <x:c r="C31" s="2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</x:row>
    <x:row r="32" ht="20" customHeight="1">
      <x:c r="A32" s="2"/>
      <x:c r="B32" s="2"/>
      <x:c r="C32" s="2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</x:row>
    <x:row r="33" ht="20" customHeight="1">
      <x:c r="A33" s="2"/>
      <x:c r="B33" s="2"/>
      <x:c r="C33" s="21" t="str">
        <x:v>Credit thresholds are illustrative. Financial feasibility does not imply lender commitment.</x:v>
      </x:c>
      <x:c r="D33" s="22"/>
      <x:c r="E33" s="22"/>
      <x:c r="F33" s="22"/>
      <x:c r="G33" s="22"/>
      <x:c r="H33" s="22"/>
      <x:c r="I33" s="22"/>
      <x:c r="J33" s="3"/>
      <x:c r="K33" s="3"/>
      <x:c r="L33" s="3"/>
      <x:c r="M33" s="3"/>
      <x:c r="N33" s="3"/>
      <x:c r="O33" s="3"/>
      <x:c r="P33" s="3"/>
    </x:row>
    <x:row r="34" ht="20" customHeight="1">
      <x:c r="A34" s="2"/>
      <x:c r="B34" s="2"/>
      <x:c r="C34" s="21" t="str">
        <x:v>Downloadable model reflects default inputs. Browser CSV exports capture the current web case.</x:v>
      </x:c>
      <x:c r="D34" s="22"/>
      <x:c r="E34" s="22"/>
      <x:c r="F34" s="22"/>
      <x:c r="G34" s="22"/>
      <x:c r="H34" s="22"/>
      <x:c r="I34" s="22"/>
      <x:c r="J34" s="3"/>
      <x:c r="K34" s="3"/>
      <x:c r="L34" s="3"/>
      <x:c r="M34" s="3"/>
      <x:c r="N34" s="3"/>
      <x:c r="O34" s="3"/>
      <x:c r="P34" s="3"/>
    </x:row>
    <x:row r="35" ht="20" customHeight="1">
      <x:c r="A35" s="2"/>
      <x:c r="B35" s="2"/>
      <x:c r="C35" s="2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 ht="20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 ht="20" customHeight="1">
      <x:c r="A37" s="2"/>
      <x:c r="B37" s="2"/>
      <x:c r="C37" s="2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 ht="20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 ht="20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 ht="20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 ht="20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 ht="20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 ht="20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 ht="20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 ht="20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 ht="20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 ht="20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 ht="20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 ht="20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 ht="20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 ht="20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 ht="20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 ht="20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 ht="20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 ht="20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 ht="20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 ht="20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 ht="20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  <x:row r="59" ht="20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</x:row>
    <x:row r="60" ht="20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</x:row>
    <x:row r="61" ht="20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</x:row>
    <x:row r="62" ht="20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</x:row>
    <x:row r="63" ht="20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</x:row>
    <x:row r="64" ht="20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</x:row>
    <x:row r="65" ht="20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</x:row>
    <x:row r="66" ht="20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</x:row>
    <x:row r="67" ht="20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</x:row>
    <x:row r="68" ht="20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</x:row>
    <x:row r="69" ht="20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</x:row>
    <x:row r="70" ht="20" customHeight="1">
      <x:c r="A70" s="2"/>
      <x:c r="B70" s="2"/>
      <x:c r="C70" s="2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</x:row>
    <x:row r="71" ht="20" customHeight="1">
      <x:c r="A71" s="2"/>
      <x:c r="B71" s="2"/>
      <x:c r="C71" s="2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</x:row>
    <x:row r="72" ht="20" customHeight="1">
      <x:c r="A72" s="2"/>
      <x:c r="B72" s="2"/>
      <x:c r="C72" s="2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</x:row>
    <x:row r="73" ht="20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</x:row>
    <x:row r="74" ht="20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</x:row>
    <x:row r="75" ht="20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</x:row>
    <x:row r="76" ht="20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</x:row>
    <x:row r="77" ht="20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</x:row>
    <x:row r="78" ht="20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</x:row>
    <x:row r="79" ht="20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</x:row>
    <x:row r="80" ht="20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976A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0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2"/>
      <x:c r="B2" s="2"/>
      <x:c r="C2" s="4" t="str">
        <x:v>Assumptions</x:v>
      </x:c>
      <x:c r="D2" s="5"/>
      <x:c r="E2" s="5"/>
      <x:c r="F2" s="5"/>
      <x:c r="G2" s="5"/>
      <x:c r="H2" s="5"/>
      <x:c r="I2" s="5"/>
      <x:c r="J2" s="3"/>
      <x:c r="K2" s="3"/>
      <x:c r="L2" s="3"/>
      <x:c r="M2" s="3"/>
      <x:c r="N2" s="3"/>
      <x:c r="O2" s="3"/>
      <x:c r="P2" s="3"/>
    </x:row>
    <x:row r="3" ht="20" customHeight="1">
      <x:c r="A3" s="2"/>
      <x:c r="B3" s="2"/>
      <x:c r="C3" s="6"/>
      <x:c r="D3" s="7"/>
      <x:c r="E3" s="7"/>
      <x:c r="F3" s="7"/>
      <x:c r="G3" s="7"/>
      <x:c r="H3" s="7"/>
      <x:c r="I3" s="7"/>
      <x:c r="J3" s="3"/>
      <x:c r="K3" s="3"/>
      <x:c r="L3" s="3"/>
      <x:c r="M3" s="3"/>
      <x:c r="N3" s="3"/>
      <x:c r="O3" s="3"/>
      <x:c r="P3" s="3"/>
    </x:row>
    <x:row r="4" ht="20" customHeight="1">
      <x:c r="A4" s="2"/>
      <x:c r="B4" s="2"/>
      <x:c r="C4" s="2" t="str">
        <x:v>Scenario: 1 Base / 2 Upside / 3 Downside</x:v>
      </x:c>
      <x:c r="D4" s="3"/>
      <x:c r="E4" s="24" t="n">
        <x:v>1</x:v>
      </x:c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20" customHeight="1">
      <x:c r="A5" s="2"/>
      <x:c r="B5" s="2"/>
      <x:c r="C5" s="2" t="str">
        <x:v>Case selected</x:v>
      </x:c>
      <x:c r="D5" s="3"/>
      <x:c r="E5" s="8" t="str">
        <x:f>CHOOSE(E4,"Base","Upside","Downside")</x:f>
        <x:v>Base</x:v>
      </x:c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 ht="20" customHeight="1">
      <x:c r="A6" s="2"/>
      <x:c r="B6" s="2"/>
      <x:c r="C6" s="2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7" ht="20" customHeight="1">
      <x:c r="A7" s="2"/>
      <x:c r="B7" s="2"/>
      <x:c r="C7" s="2" t="str">
        <x:v>Include operating plan (0 no / 1 yes)</x:v>
      </x:c>
      <x:c r="D7" s="3"/>
      <x:c r="E7" s="35" t="n">
        <x:v>0</x:v>
      </x:c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</x:row>
    <x:row r="8" ht="20" customHeight="1">
      <x:c r="A8" s="2"/>
      <x:c r="B8" s="2"/>
      <x:c r="C8" s="2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  <x:row r="9" ht="20" customHeight="1">
      <x:c r="A9" s="2"/>
      <x:c r="B9" s="2"/>
      <x:c r="C9" s="2" t="str">
        <x:v>Entry EV / EBITDA</x:v>
      </x:c>
      <x:c r="D9" s="3"/>
      <x:c r="E9" s="33" t="n">
        <x:v>10</x:v>
      </x:c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</x:row>
    <x:row r="10" ht="20" customHeight="1">
      <x:c r="A10" s="2"/>
      <x:c r="B10" s="2"/>
      <x:c r="C10" s="2" t="str">
        <x:v>Initial debt / EBITDA</x:v>
      </x:c>
      <x:c r="D10" s="3"/>
      <x:c r="E10" s="33" t="n">
        <x:v>4.5</x:v>
      </x:c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</x:row>
    <x:row r="11" ht="20" customHeight="1">
      <x:c r="A11" s="2"/>
      <x:c r="B11" s="2"/>
      <x:c r="C11" s="28" t="str">
        <x:v>Exit EV / EBITDA: active</x:v>
      </x:c>
      <x:c r="D11" s="29"/>
      <x:c r="E11" s="34" t="n">
        <x:f>CHOOSE($E$4,E12,E13,E14)</x:f>
        <x:v>9</x:v>
      </x:c>
      <x:c r="F11" s="29"/>
      <x:c r="G11" s="29"/>
      <x:c r="H11" s="29"/>
      <x:c r="I11" s="29"/>
      <x:c r="J11" s="3"/>
      <x:c r="K11" s="3"/>
      <x:c r="L11" s="3"/>
      <x:c r="M11" s="3"/>
      <x:c r="N11" s="3"/>
      <x:c r="O11" s="3"/>
      <x:c r="P11" s="3"/>
    </x:row>
    <x:row r="12" ht="20" customHeight="1">
      <x:c r="A12" s="2"/>
      <x:c r="B12" s="2"/>
      <x:c r="C12" s="2" t="str">
        <x:v>Exit multiple: Base</x:v>
      </x:c>
      <x:c r="D12" s="3"/>
      <x:c r="E12" s="33" t="n">
        <x:v>9</x:v>
      </x:c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 ht="20" customHeight="1">
      <x:c r="A13" s="2"/>
      <x:c r="B13" s="2"/>
      <x:c r="C13" s="2" t="str">
        <x:v>Exit multiple: Upside</x:v>
      </x:c>
      <x:c r="D13" s="3"/>
      <x:c r="E13" s="33" t="n">
        <x:v>10</x:v>
      </x:c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</x:row>
    <x:row r="14" ht="20" customHeight="1">
      <x:c r="A14" s="2"/>
      <x:c r="B14" s="2"/>
      <x:c r="C14" s="2" t="str">
        <x:v>Exit multiple: Downside</x:v>
      </x:c>
      <x:c r="D14" s="3"/>
      <x:c r="E14" s="33" t="n">
        <x:v>7</x:v>
      </x:c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</x:row>
    <x:row r="15" ht="20" customHeight="1">
      <x:c r="A15" s="2"/>
      <x:c r="B15" s="2"/>
      <x:c r="C15" s="2" t="str">
        <x:v>Annual term interest rate</x:v>
      </x:c>
      <x:c r="D15" s="3"/>
      <x:c r="E15" s="30" t="n">
        <x:v>0.08</x:v>
      </x:c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 ht="20" customHeight="1">
      <x:c r="A16" s="2"/>
      <x:c r="B16" s="2"/>
      <x:c r="C16" s="2" t="str">
        <x:v>Amortization / original debt</x:v>
      </x:c>
      <x:c r="D16" s="3"/>
      <x:c r="E16" s="30" t="n">
        <x:v>0.01</x:v>
      </x:c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 ht="20" customHeight="1">
      <x:c r="A17" s="2"/>
      <x:c r="B17" s="2"/>
      <x:c r="C17" s="2" t="str">
        <x:v>Transaction fees / entry EV</x:v>
      </x:c>
      <x:c r="D17" s="3"/>
      <x:c r="E17" s="30" t="n">
        <x:v>0.02</x:v>
      </x:c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 ht="20" customHeight="1">
      <x:c r="A18" s="2"/>
      <x:c r="B18" s="2"/>
      <x:c r="C18" s="2" t="str">
        <x:v>Financing fees / initial debt</x:v>
      </x:c>
      <x:c r="D18" s="3"/>
      <x:c r="E18" s="30" t="n">
        <x:v>0.02</x:v>
      </x:c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 ht="20" customHeight="1">
      <x:c r="A19" s="2"/>
      <x:c r="B19" s="2"/>
      <x:c r="C19" s="2" t="str">
        <x:v>Exit fees / exit EV</x:v>
      </x:c>
      <x:c r="D19" s="3"/>
      <x:c r="E19" s="30" t="n">
        <x:v>0.01</x:v>
      </x:c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 ht="20" customHeight="1">
      <x:c r="A20" s="2"/>
      <x:c r="B20" s="2"/>
      <x:c r="C20" s="2" t="str">
        <x:v>Minimum cash</x:v>
      </x:c>
      <x:c r="D20" s="3"/>
      <x:c r="E20" s="25" t="n">
        <x:v>20</x:v>
      </x:c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 ht="20" customHeight="1">
      <x:c r="A21" s="2"/>
      <x:c r="B21" s="2"/>
      <x:c r="C21" s="2" t="str">
        <x:v>Revolver capacity</x:v>
      </x:c>
      <x:c r="D21" s="3"/>
      <x:c r="E21" s="25" t="n">
        <x:v>50</x:v>
      </x:c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 ht="20" customHeight="1">
      <x:c r="A22" s="2"/>
      <x:c r="B22" s="2"/>
      <x:c r="C22" s="2" t="str">
        <x:v>Cash tax rate</x:v>
      </x:c>
      <x:c r="D22" s="3"/>
      <x:c r="E22" s="30" t="n">
        <x:v>0.25</x:v>
      </x:c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 ht="20" customHeight="1">
      <x:c r="A23" s="2"/>
      <x:c r="B23" s="2"/>
      <x:c r="C23" s="2" t="str">
        <x:v>Recurring capex / revenue</x:v>
      </x:c>
      <x:c r="D23" s="3"/>
      <x:c r="E23" s="30" t="n">
        <x:v>0.032</x:v>
      </x:c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 ht="20" customHeight="1">
      <x:c r="A24" s="2"/>
      <x:c r="B24" s="2"/>
      <x:c r="C24" s="2" t="str">
        <x:v>Historical D&amp;A / revenue</x:v>
      </x:c>
      <x:c r="D24" s="3"/>
      <x:c r="E24" s="31" t="n">
        <x:f>'Forecast'!D14/'Forecast'!D7</x:f>
        <x:v>0.04060587143110454</x:v>
      </x:c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 ht="20" customHeight="1">
      <x:c r="A25" s="2"/>
      <x:c r="B25" s="2"/>
      <x:c r="C25" s="2" t="str">
        <x:v>Historical operating NWC / revenue</x:v>
      </x:c>
      <x:c r="D25" s="3"/>
      <x:c r="E25" s="31" t="n">
        <x:f>'Forecast'!D19/'Forecast'!D7</x:f>
        <x:v>0.1804308099925409</x:v>
      </x:c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 ht="20" customHeight="1">
      <x:c r="A26" s="2"/>
      <x:c r="B26" s="2"/>
      <x:c r="C26" s="2" t="str">
        <x:v>Target equity IRR</x:v>
      </x:c>
      <x:c r="D26" s="3"/>
      <x:c r="E26" s="30" t="n">
        <x:v>0.2</x:v>
      </x:c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 ht="20" customHeight="1">
      <x:c r="A27" s="2"/>
      <x:c r="B27" s="2"/>
      <x:c r="C27" s="2" t="str">
        <x:v>DCF discount rate</x:v>
      </x:c>
      <x:c r="D27" s="3"/>
      <x:c r="E27" s="30" t="n">
        <x:v>0.1</x:v>
      </x:c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 ht="20" customHeight="1">
      <x:c r="A28" s="2"/>
      <x:c r="B28" s="2"/>
      <x:c r="C28" s="2" t="str">
        <x:v>Terminal growth</x:v>
      </x:c>
      <x:c r="D28" s="3"/>
      <x:c r="E28" s="30" t="n">
        <x:v>0.025</x:v>
      </x:c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 ht="20" customHeight="1">
      <x:c r="A29" s="2"/>
      <x:c r="B29" s="2"/>
      <x:c r="C29" s="2" t="str">
        <x:v>Pricing initiative (0 no / 1 yes)</x:v>
      </x:c>
      <x:c r="D29" s="3"/>
      <x:c r="E29" s="35" t="n">
        <x:v>1</x:v>
      </x:c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 ht="20" customHeight="1">
      <x:c r="A30" s="2"/>
      <x:c r="B30" s="2"/>
      <x:c r="C30" s="2" t="str">
        <x:v>Process yield initiative (0 no / 1 yes)</x:v>
      </x:c>
      <x:c r="D30" s="3"/>
      <x:c r="E30" s="35" t="n">
        <x:v>1</x:v>
      </x:c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</x:row>
    <x:row r="31" ht="20" customHeight="1">
      <x:c r="A31" s="2"/>
      <x:c r="B31" s="2"/>
      <x:c r="C31" s="2" t="str">
        <x:v>Inventory initiative (0 no / 1 yes)</x:v>
      </x:c>
      <x:c r="D31" s="3"/>
      <x:c r="E31" s="35" t="n">
        <x:v>1</x:v>
      </x:c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</x:row>
    <x:row r="32" ht="20" customHeight="1">
      <x:c r="A32" s="2"/>
      <x:c r="B32" s="2"/>
      <x:c r="C32" s="2" t="str">
        <x:v>Full-run-rate price increase</x:v>
      </x:c>
      <x:c r="D32" s="3"/>
      <x:c r="E32" s="30" t="n">
        <x:v>0.01</x:v>
      </x:c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</x:row>
    <x:row r="33" ht="20" customHeight="1">
      <x:c r="A33" s="2"/>
      <x:c r="B33" s="2"/>
      <x:c r="C33" s="2" t="str">
        <x:v>Full-run-rate volume loss</x:v>
      </x:c>
      <x:c r="D33" s="3"/>
      <x:c r="E33" s="32" t="n">
        <x:v>0.0025</x:v>
      </x:c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 ht="20" customHeight="1">
      <x:c r="A34" s="2"/>
      <x:c r="B34" s="2"/>
      <x:c r="C34" s="2" t="str">
        <x:v>Lost-volume contribution margin</x:v>
      </x:c>
      <x:c r="D34" s="3"/>
      <x:c r="E34" s="30" t="n">
        <x:v>0.35</x:v>
      </x:c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 ht="20" customHeight="1">
      <x:c r="A35" s="2"/>
      <x:c r="B35" s="2"/>
      <x:c r="C35" s="2" t="str">
        <x:v>Savings / baseline COGS</x:v>
      </x:c>
      <x:c r="D35" s="3"/>
      <x:c r="E35" s="30" t="n">
        <x:v>0.006</x:v>
      </x:c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 ht="20" customHeight="1">
      <x:c r="A36" s="2"/>
      <x:c r="B36" s="2"/>
      <x:c r="C36" s="2" t="str">
        <x:v>Inventory days reduction</x:v>
      </x:c>
      <x:c r="D36" s="3"/>
      <x:c r="E36" s="35" t="n">
        <x:v>8</x:v>
      </x:c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 ht="20" customHeight="1">
      <x:c r="A37" s="2"/>
      <x:c r="B37" s="2"/>
      <x:c r="C37" s="2" t="str">
        <x:v>Revenue growth shift (percentage points)</x:v>
      </x:c>
      <x:c r="D37" s="3"/>
      <x:c r="E37" s="30" t="n">
        <x:v>0</x:v>
      </x:c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 ht="20" customHeight="1">
      <x:c r="A38" s="2"/>
      <x:c r="B38" s="2"/>
      <x:c r="C38" s="2" t="str">
        <x:v>EBITDA margin shift (percentage points)</x:v>
      </x:c>
      <x:c r="D38" s="3"/>
      <x:c r="E38" s="30" t="n">
        <x:v>0</x:v>
      </x:c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 ht="20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 ht="20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 ht="20" customHeight="1">
      <x:c r="A41" s="2"/>
      <x:c r="B41" s="2"/>
      <x:c r="C41" s="15"/>
      <x:c r="D41" s="18"/>
      <x:c r="E41" s="19" t="n">
        <x:v>2026</x:v>
      </x:c>
      <x:c r="F41" s="19" t="n">
        <x:v>2027</x:v>
      </x:c>
      <x:c r="G41" s="19" t="n">
        <x:v>2028</x:v>
      </x:c>
      <x:c r="H41" s="19" t="n">
        <x:v>2029</x:v>
      </x:c>
      <x:c r="I41" s="19" t="n">
        <x:v>2030</x:v>
      </x:c>
      <x:c r="J41" s="3"/>
      <x:c r="K41" s="3"/>
      <x:c r="L41" s="3"/>
      <x:c r="M41" s="3"/>
      <x:c r="N41" s="3"/>
      <x:c r="O41" s="3"/>
      <x:c r="P41" s="3"/>
    </x:row>
    <x:row r="42" ht="20" customHeight="1">
      <x:c r="A42" s="2"/>
      <x:c r="B42" s="2"/>
      <x:c r="C42" s="43" t="str">
        <x:v>Revenue growth: active</x:v>
      </x:c>
      <x:c r="D42" s="44"/>
      <x:c r="E42" s="44" t="n">
        <x:f>IF(CHOOSE($E$4,ISBLANK(E43),ISBLANK(E44),ISBLANK(E45)),NA(),IF(ISNUMBER(CHOOSE($E$4,E43,E44,E45)),CHOOSE($E$4,E43,E44,E45)+$E$37,NA()))</x:f>
        <x:v>0.04</x:v>
      </x:c>
      <x:c r="F42" s="44" t="n">
        <x:f>IF(CHOOSE($E$4,ISBLANK(F43),ISBLANK(F44),ISBLANK(F45)),NA(),IF(ISNUMBER(CHOOSE($E$4,F43,F44,F45)),CHOOSE($E$4,F43,F44,F45)+$E$37,NA()))</x:f>
        <x:v>0.04</x:v>
      </x:c>
      <x:c r="G42" s="44" t="n">
        <x:f>IF(CHOOSE($E$4,ISBLANK(G43),ISBLANK(G44),ISBLANK(G45)),NA(),IF(ISNUMBER(CHOOSE($E$4,G43,G44,G45)),CHOOSE($E$4,G43,G44,G45)+$E$37,NA()))</x:f>
        <x:v>0.04</x:v>
      </x:c>
      <x:c r="H42" s="44" t="n">
        <x:f>IF(CHOOSE($E$4,ISBLANK(H43),ISBLANK(H44),ISBLANK(H45)),NA(),IF(ISNUMBER(CHOOSE($E$4,H43,H44,H45)),CHOOSE($E$4,H43,H44,H45)+$E$37,NA()))</x:f>
        <x:v>0.04</x:v>
      </x:c>
      <x:c r="I42" s="44" t="n">
        <x:f>IF(CHOOSE($E$4,ISBLANK(I43),ISBLANK(I44),ISBLANK(I45)),NA(),IF(ISNUMBER(CHOOSE($E$4,I43,I44,I45)),CHOOSE($E$4,I43,I44,I45)+$E$37,NA()))</x:f>
        <x:v>0.04</x:v>
      </x:c>
      <x:c r="J42" s="3"/>
      <x:c r="K42" s="3"/>
      <x:c r="L42" s="3"/>
      <x:c r="M42" s="3"/>
      <x:c r="N42" s="3"/>
      <x:c r="O42" s="3"/>
      <x:c r="P42" s="3"/>
    </x:row>
    <x:row r="43" ht="20" customHeight="1">
      <x:c r="A43" s="2"/>
      <x:c r="B43" s="2"/>
      <x:c r="C43" s="37" t="str">
        <x:v>Base</x:v>
      </x:c>
      <x:c r="D43" s="38"/>
      <x:c r="E43" s="40" t="n">
        <x:v>0.04</x:v>
      </x:c>
      <x:c r="F43" s="40" t="n">
        <x:v>0.04</x:v>
      </x:c>
      <x:c r="G43" s="40" t="n">
        <x:v>0.04</x:v>
      </x:c>
      <x:c r="H43" s="40" t="n">
        <x:v>0.04</x:v>
      </x:c>
      <x:c r="I43" s="40" t="n">
        <x:v>0.04</x:v>
      </x:c>
      <x:c r="J43" s="3"/>
      <x:c r="K43" s="3"/>
      <x:c r="L43" s="3"/>
      <x:c r="M43" s="3"/>
      <x:c r="N43" s="3"/>
      <x:c r="O43" s="3"/>
      <x:c r="P43" s="3"/>
    </x:row>
    <x:row r="44" ht="20" customHeight="1">
      <x:c r="A44" s="2"/>
      <x:c r="B44" s="2"/>
      <x:c r="C44" s="37" t="str">
        <x:v>Upside</x:v>
      </x:c>
      <x:c r="D44" s="38"/>
      <x:c r="E44" s="40" t="n">
        <x:v>0.06</x:v>
      </x:c>
      <x:c r="F44" s="40" t="n">
        <x:v>0.06</x:v>
      </x:c>
      <x:c r="G44" s="40" t="n">
        <x:v>0.05</x:v>
      </x:c>
      <x:c r="H44" s="40" t="n">
        <x:v>0.05</x:v>
      </x:c>
      <x:c r="I44" s="40" t="n">
        <x:v>0.04</x:v>
      </x:c>
      <x:c r="J44" s="3"/>
      <x:c r="K44" s="3"/>
      <x:c r="L44" s="3"/>
      <x:c r="M44" s="3"/>
      <x:c r="N44" s="3"/>
      <x:c r="O44" s="3"/>
      <x:c r="P44" s="3"/>
    </x:row>
    <x:row r="45" ht="20" customHeight="1">
      <x:c r="A45" s="2"/>
      <x:c r="B45" s="2"/>
      <x:c r="C45" s="37" t="str">
        <x:v>Downside</x:v>
      </x:c>
      <x:c r="D45" s="38"/>
      <x:c r="E45" s="40" t="n">
        <x:v>-0.08</x:v>
      </x:c>
      <x:c r="F45" s="40" t="n">
        <x:v>-0.02</x:v>
      </x:c>
      <x:c r="G45" s="40" t="n">
        <x:v>0.01</x:v>
      </x:c>
      <x:c r="H45" s="40" t="n">
        <x:v>0.02</x:v>
      </x:c>
      <x:c r="I45" s="40" t="n">
        <x:v>0.02</x:v>
      </x:c>
      <x:c r="J45" s="3"/>
      <x:c r="K45" s="3"/>
      <x:c r="L45" s="3"/>
      <x:c r="M45" s="3"/>
      <x:c r="N45" s="3"/>
      <x:c r="O45" s="3"/>
      <x:c r="P45" s="3"/>
    </x:row>
    <x:row r="46" ht="20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 ht="20" customHeight="1">
      <x:c r="A47" s="2"/>
      <x:c r="B47" s="2"/>
      <x:c r="C47" s="43" t="str">
        <x:v>EBITDA margin change: active</x:v>
      </x:c>
      <x:c r="D47" s="44"/>
      <x:c r="E47" s="44" t="n">
        <x:f>IF(CHOOSE($E$4,ISBLANK(E48),ISBLANK(E49),ISBLANK(E50)),NA(),IF(ISNUMBER(CHOOSE($E$4,E48,E49,E50)),CHOOSE($E$4,E48,E49,E50)+$E$38,NA()))</x:f>
        <x:v>0</x:v>
      </x:c>
      <x:c r="F47" s="44" t="n">
        <x:f>IF(CHOOSE($E$4,ISBLANK(F48),ISBLANK(F49),ISBLANK(F50)),NA(),IF(ISNUMBER(CHOOSE($E$4,F48,F49,F50)),CHOOSE($E$4,F48,F49,F50)+$E$38,NA()))</x:f>
        <x:v>0</x:v>
      </x:c>
      <x:c r="G47" s="44" t="n">
        <x:f>IF(CHOOSE($E$4,ISBLANK(G48),ISBLANK(G49),ISBLANK(G50)),NA(),IF(ISNUMBER(CHOOSE($E$4,G48,G49,G50)),CHOOSE($E$4,G48,G49,G50)+$E$38,NA()))</x:f>
        <x:v>0</x:v>
      </x:c>
      <x:c r="H47" s="44" t="n">
        <x:f>IF(CHOOSE($E$4,ISBLANK(H48),ISBLANK(H49),ISBLANK(H50)),NA(),IF(ISNUMBER(CHOOSE($E$4,H48,H49,H50)),CHOOSE($E$4,H48,H49,H50)+$E$38,NA()))</x:f>
        <x:v>0</x:v>
      </x:c>
      <x:c r="I47" s="44" t="n">
        <x:f>IF(CHOOSE($E$4,ISBLANK(I48),ISBLANK(I49),ISBLANK(I50)),NA(),IF(ISNUMBER(CHOOSE($E$4,I48,I49,I50)),CHOOSE($E$4,I48,I49,I50)+$E$38,NA()))</x:f>
        <x:v>0</x:v>
      </x:c>
      <x:c r="J47" s="3"/>
      <x:c r="K47" s="3"/>
      <x:c r="L47" s="3"/>
      <x:c r="M47" s="3"/>
      <x:c r="N47" s="3"/>
      <x:c r="O47" s="3"/>
      <x:c r="P47" s="3"/>
    </x:row>
    <x:row r="48" ht="20" customHeight="1">
      <x:c r="A48" s="2"/>
      <x:c r="B48" s="2"/>
      <x:c r="C48" s="37" t="str">
        <x:v>Base</x:v>
      </x:c>
      <x:c r="D48" s="38"/>
      <x:c r="E48" s="40" t="n">
        <x:v>0</x:v>
      </x:c>
      <x:c r="F48" s="40" t="n">
        <x:v>0</x:v>
      </x:c>
      <x:c r="G48" s="40" t="n">
        <x:v>0</x:v>
      </x:c>
      <x:c r="H48" s="40" t="n">
        <x:v>0</x:v>
      </x:c>
      <x:c r="I48" s="40" t="n">
        <x:v>0</x:v>
      </x:c>
      <x:c r="J48" s="3"/>
      <x:c r="K48" s="3"/>
      <x:c r="L48" s="3"/>
      <x:c r="M48" s="3"/>
      <x:c r="N48" s="3"/>
      <x:c r="O48" s="3"/>
      <x:c r="P48" s="3"/>
    </x:row>
    <x:row r="49" ht="20" customHeight="1">
      <x:c r="A49" s="2"/>
      <x:c r="B49" s="2"/>
      <x:c r="C49" s="37" t="str">
        <x:v>Upside</x:v>
      </x:c>
      <x:c r="D49" s="38"/>
      <x:c r="E49" s="40" t="n">
        <x:v>0.003</x:v>
      </x:c>
      <x:c r="F49" s="40" t="n">
        <x:v>0.006</x:v>
      </x:c>
      <x:c r="G49" s="40" t="n">
        <x:v>0.009</x:v>
      </x:c>
      <x:c r="H49" s="40" t="n">
        <x:v>0.01</x:v>
      </x:c>
      <x:c r="I49" s="40" t="n">
        <x:v>0.01</x:v>
      </x:c>
      <x:c r="J49" s="3"/>
      <x:c r="K49" s="3"/>
      <x:c r="L49" s="3"/>
      <x:c r="M49" s="3"/>
      <x:c r="N49" s="3"/>
      <x:c r="O49" s="3"/>
      <x:c r="P49" s="3"/>
    </x:row>
    <x:row r="50" ht="20" customHeight="1">
      <x:c r="A50" s="2"/>
      <x:c r="B50" s="2"/>
      <x:c r="C50" s="37" t="str">
        <x:v>Downside</x:v>
      </x:c>
      <x:c r="D50" s="38"/>
      <x:c r="E50" s="40" t="n">
        <x:v>-0.03</x:v>
      </x:c>
      <x:c r="F50" s="40" t="n">
        <x:v>-0.03</x:v>
      </x:c>
      <x:c r="G50" s="40" t="n">
        <x:v>-0.02</x:v>
      </x:c>
      <x:c r="H50" s="40" t="n">
        <x:v>-0.015</x:v>
      </x:c>
      <x:c r="I50" s="40" t="n">
        <x:v>-0.01</x:v>
      </x:c>
      <x:c r="J50" s="3"/>
      <x:c r="K50" s="3"/>
      <x:c r="L50" s="3"/>
      <x:c r="M50" s="3"/>
      <x:c r="N50" s="3"/>
      <x:c r="O50" s="3"/>
      <x:c r="P50" s="3"/>
    </x:row>
    <x:row r="51" ht="20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 ht="20" customHeight="1">
      <x:c r="A52" s="2"/>
      <x:c r="B52" s="2"/>
      <x:c r="C52" s="37" t="str">
        <x:v>Initiative realization</x:v>
      </x:c>
      <x:c r="D52" s="38"/>
      <x:c r="E52" s="45" t="n">
        <x:v>0.35</x:v>
      </x:c>
      <x:c r="F52" s="45" t="n">
        <x:v>0.75</x:v>
      </x:c>
      <x:c r="G52" s="45" t="n">
        <x:v>1</x:v>
      </x:c>
      <x:c r="H52" s="45" t="n">
        <x:v>1</x:v>
      </x:c>
      <x:c r="I52" s="45" t="n">
        <x:v>1</x:v>
      </x:c>
      <x:c r="J52" s="3"/>
      <x:c r="K52" s="3"/>
      <x:c r="L52" s="3"/>
      <x:c r="M52" s="3"/>
      <x:c r="N52" s="3"/>
      <x:c r="O52" s="3"/>
      <x:c r="P52" s="3"/>
    </x:row>
    <x:row r="53" ht="20" customHeight="1">
      <x:c r="A53" s="2"/>
      <x:c r="B53" s="2"/>
      <x:c r="C53" s="2" t="str">
        <x:v>Implementation expense before toggles</x:v>
      </x:c>
      <x:c r="D53" s="3"/>
      <x:c r="E53" s="25" t="n">
        <x:v>2</x:v>
      </x:c>
      <x:c r="F53" s="25" t="n">
        <x:v>1</x:v>
      </x:c>
      <x:c r="G53" s="25" t="n">
        <x:v>0</x:v>
      </x:c>
      <x:c r="H53" s="25" t="n">
        <x:v>0</x:v>
      </x:c>
      <x:c r="I53" s="25" t="n">
        <x:v>0</x:v>
      </x:c>
      <x:c r="J53" s="3"/>
      <x:c r="K53" s="3"/>
      <x:c r="L53" s="3"/>
      <x:c r="M53" s="3"/>
      <x:c r="N53" s="3"/>
      <x:c r="O53" s="3"/>
      <x:c r="P53" s="3"/>
    </x:row>
    <x:row r="54" ht="20" customHeight="1">
      <x:c r="A54" s="2"/>
      <x:c r="B54" s="2"/>
      <x:c r="C54" s="2" t="str">
        <x:v>Process yield capex</x:v>
      </x:c>
      <x:c r="D54" s="3"/>
      <x:c r="E54" s="25" t="n">
        <x:v>3</x:v>
      </x:c>
      <x:c r="F54" s="25" t="n">
        <x:v>0</x:v>
      </x:c>
      <x:c r="G54" s="25" t="n">
        <x:v>0</x:v>
      </x:c>
      <x:c r="H54" s="25" t="n">
        <x:v>0</x:v>
      </x:c>
      <x:c r="I54" s="25" t="n">
        <x:v>0</x:v>
      </x:c>
      <x:c r="J54" s="3"/>
      <x:c r="K54" s="3"/>
      <x:c r="L54" s="3"/>
      <x:c r="M54" s="3"/>
      <x:c r="N54" s="3"/>
      <x:c r="O54" s="3"/>
      <x:c r="P54" s="3"/>
    </x:row>
    <x:row r="55" ht="20" customHeight="1">
      <x:c r="A55" s="2"/>
      <x:c r="B55" s="2"/>
      <x:c r="C55" s="2" t="str">
        <x:v>Initiative asset life (years)</x:v>
      </x:c>
      <x:c r="D55" s="3"/>
      <x:c r="E55" s="35" t="n">
        <x:v>5</x:v>
      </x:c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 ht="20" customHeight="1">
      <x:c r="A56" s="2"/>
      <x:c r="B56" s="2"/>
      <x:c r="C56" s="2" t="str">
        <x:v>Maximum year-end net leverage</x:v>
      </x:c>
      <x:c r="D56" s="3"/>
      <x:c r="E56" s="33" t="n">
        <x:v>5.5</x:v>
      </x:c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 ht="20" customHeight="1">
      <x:c r="A57" s="2"/>
      <x:c r="B57" s="2"/>
      <x:c r="C57" s="2" t="str">
        <x:v>Minimum interest coverage</x:v>
      </x:c>
      <x:c r="D57" s="3"/>
      <x:c r="E57" s="33" t="n">
        <x:v>2</x:v>
      </x:c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 ht="20" customHeight="1">
      <x:c r="A58" s="2"/>
      <x:c r="B58" s="2"/>
      <x:c r="C58" s="2" t="str">
        <x:v>Terminal return on invested capital</x:v>
      </x:c>
      <x:c r="D58" s="3"/>
      <x:c r="E58" s="30" t="n">
        <x:v>0.12</x:v>
      </x:c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  <x:row r="59" ht="20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</x:row>
    <x:row r="60" ht="20" customHeight="1">
      <x:c r="A60" s="2"/>
      <x:c r="B60" s="2"/>
      <x:c r="C60" s="21" t="str">
        <x:v>Blue inputs are editable; black formulas calculate locally; green formulas link to other sheets.</x:v>
      </x:c>
      <x:c r="D60" s="22"/>
      <x:c r="E60" s="22"/>
      <x:c r="F60" s="22"/>
      <x:c r="G60" s="22"/>
      <x:c r="H60" s="22"/>
      <x:c r="I60" s="22"/>
      <x:c r="J60" s="3"/>
      <x:c r="K60" s="3"/>
      <x:c r="L60" s="3"/>
      <x:c r="M60" s="3"/>
      <x:c r="N60" s="3"/>
      <x:c r="O60" s="3"/>
      <x:c r="P60" s="3"/>
    </x:row>
    <x:row r="61" ht="20" customHeight="1">
      <x:c r="A61" s="2"/>
      <x:c r="B61" s="2"/>
      <x:c r="C61" s="21" t="str">
        <x:v>Hypothetical terms. No live share prices, financing commitments or observed acquisition multiples.</x:v>
      </x:c>
      <x:c r="D61" s="22"/>
      <x:c r="E61" s="22"/>
      <x:c r="F61" s="22"/>
      <x:c r="G61" s="22"/>
      <x:c r="H61" s="22"/>
      <x:c r="I61" s="22"/>
      <x:c r="J61" s="3"/>
      <x:c r="K61" s="3"/>
      <x:c r="L61" s="3"/>
      <x:c r="M61" s="3"/>
      <x:c r="N61" s="3"/>
      <x:c r="O61" s="3"/>
      <x:c r="P61" s="3"/>
    </x:row>
    <x:row r="62" ht="20" customHeight="1">
      <x:c r="A62" s="2"/>
      <x:c r="B62" s="2"/>
      <x:c r="C62" s="21" t="str">
        <x:v>Revolver rate = term rate + 1 percentage point. Full remaining cash sweeps debt.</x:v>
      </x:c>
      <x:c r="D62" s="22"/>
      <x:c r="E62" s="22"/>
      <x:c r="F62" s="22"/>
      <x:c r="G62" s="22"/>
      <x:c r="H62" s="22"/>
      <x:c r="I62" s="22"/>
      <x:c r="J62" s="3"/>
      <x:c r="K62" s="3"/>
      <x:c r="L62" s="3"/>
      <x:c r="M62" s="3"/>
      <x:c r="N62" s="3"/>
      <x:c r="O62" s="3"/>
      <x:c r="P62" s="3"/>
    </x:row>
    <x:row r="63" ht="20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</x:row>
    <x:row r="64" ht="20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</x:row>
    <x:row r="65" ht="20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</x:row>
    <x:row r="66" ht="20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</x:row>
    <x:row r="67" ht="20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</x:row>
    <x:row r="68" ht="20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</x:row>
    <x:row r="69" ht="20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</x:row>
    <x:row r="70" ht="20" customHeight="1">
      <x:c r="A70" s="2"/>
      <x:c r="B70" s="2"/>
      <x:c r="C70" s="2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</x:row>
    <x:row r="71" ht="20" customHeight="1">
      <x:c r="A71" s="2"/>
      <x:c r="B71" s="2"/>
      <x:c r="C71" s="2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</x:row>
    <x:row r="72" ht="20" customHeight="1">
      <x:c r="A72" s="2"/>
      <x:c r="B72" s="2"/>
      <x:c r="C72" s="2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</x:row>
    <x:row r="73" ht="20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</x:row>
    <x:row r="74" ht="20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</x:row>
    <x:row r="75" ht="20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</x:row>
    <x:row r="76" ht="20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</x:row>
    <x:row r="77" ht="20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</x:row>
    <x:row r="78" ht="20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</x:row>
    <x:row r="79" ht="20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</x:row>
    <x:row r="80" ht="20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</x:row>
  </x:sheetData>
  <x:dataValidations count="5">
    <x:dataValidation type="whole" operator="between" sqref="E4">
      <x:formula1>1</x:formula1>
      <x:formula2>3</x:formula2>
    </x:dataValidation>
    <x:dataValidation type="whole" operator="between" sqref="E7">
      <x:formula1>0</x:formula1>
      <x:formula2>1</x:formula2>
    </x:dataValidation>
    <x:dataValidation type="whole" operator="between" sqref="E29">
      <x:formula1>0</x:formula1>
      <x:formula2>1</x:formula2>
    </x:dataValidation>
    <x:dataValidation type="whole" operator="between" sqref="E30">
      <x:formula1>0</x:formula1>
      <x:formula2>1</x:formula2>
    </x:dataValidation>
    <x:dataValidation type="whole" operator="between" sqref="E31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0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2"/>
      <x:c r="B2" s="2"/>
      <x:c r="C2" s="4" t="str">
        <x:v>Forecast</x:v>
      </x:c>
      <x:c r="D2" s="5"/>
      <x:c r="E2" s="5"/>
      <x:c r="F2" s="5"/>
      <x:c r="G2" s="5"/>
      <x:c r="H2" s="5"/>
      <x:c r="I2" s="5"/>
      <x:c r="J2" s="3"/>
      <x:c r="K2" s="3"/>
      <x:c r="L2" s="3"/>
      <x:c r="M2" s="3"/>
      <x:c r="N2" s="3"/>
      <x:c r="O2" s="3"/>
      <x:c r="P2" s="3"/>
    </x:row>
    <x:row r="3" ht="20" customHeight="1">
      <x:c r="A3" s="2"/>
      <x:c r="B3" s="2"/>
      <x:c r="C3" s="6"/>
      <x:c r="D3" s="7"/>
      <x:c r="E3" s="7"/>
      <x:c r="F3" s="7"/>
      <x:c r="G3" s="7"/>
      <x:c r="H3" s="7"/>
      <x:c r="I3" s="7"/>
      <x:c r="J3" s="3"/>
      <x:c r="K3" s="3"/>
      <x:c r="L3" s="3"/>
      <x:c r="M3" s="3"/>
      <x:c r="N3" s="3"/>
      <x:c r="O3" s="3"/>
      <x:c r="P3" s="3"/>
    </x:row>
    <x:row r="4" ht="20" customHeight="1">
      <x:c r="A4" s="2"/>
      <x:c r="B4" s="2"/>
      <x:c r="C4" s="2" t="str">
        <x:v>Case selected</x:v>
      </x:c>
      <x:c r="D4" s="3"/>
      <x:c r="E4" s="10" t="str">
        <x:f>'Assumptions'!E5</x:f>
        <x:v>Base</x:v>
      </x:c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20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 ht="20" customHeight="1">
      <x:c r="A6" s="2"/>
      <x:c r="B6" s="2"/>
      <x:c r="C6" s="15"/>
      <x:c r="D6" s="18" t="str">
        <x:v>2025A</x:v>
      </x:c>
      <x:c r="E6" s="19" t="n">
        <x:v>2026</x:v>
      </x:c>
      <x:c r="F6" s="19" t="n">
        <x:v>2027</x:v>
      </x:c>
      <x:c r="G6" s="19" t="n">
        <x:v>2028</x:v>
      </x:c>
      <x:c r="H6" s="19" t="n">
        <x:v>2029</x:v>
      </x:c>
      <x:c r="I6" s="19" t="n">
        <x:v>2030</x:v>
      </x:c>
      <x:c r="J6" s="3"/>
      <x:c r="K6" s="3"/>
      <x:c r="L6" s="3"/>
      <x:c r="M6" s="3"/>
      <x:c r="N6" s="3"/>
      <x:c r="O6" s="3"/>
      <x:c r="P6" s="3"/>
    </x:row>
    <x:row r="7" ht="20" customHeight="1">
      <x:c r="A7" s="2"/>
      <x:c r="B7" s="2"/>
      <x:c r="C7" s="2" t="str">
        <x:v>Organic revenue</x:v>
      </x:c>
      <x:c r="D7" s="8" t="n">
        <x:f>'Inputs'!E7</x:f>
        <x:v>682.389</x:v>
      </x:c>
      <x:c r="E7" s="3" t="n">
        <x:f>D7*(1+E8)</x:f>
        <x:v>709.68456</x:v>
      </x:c>
      <x:c r="F7" s="3" t="n">
        <x:f>E7*(1+F8)</x:f>
        <x:v>738.0719424</x:v>
      </x:c>
      <x:c r="G7" s="3" t="n">
        <x:f>F7*(1+G8)</x:f>
        <x:v>767.594820096</x:v>
      </x:c>
      <x:c r="H7" s="3" t="n">
        <x:f>G7*(1+H8)</x:f>
        <x:v>798.29861289984</x:v>
      </x:c>
      <x:c r="I7" s="3" t="n">
        <x:f>H7*(1+I8)</x:f>
        <x:v>830.2305574158337</x:v>
      </x:c>
      <x:c r="J7" s="3"/>
      <x:c r="K7" s="3"/>
      <x:c r="L7" s="3"/>
      <x:c r="M7" s="3"/>
      <x:c r="N7" s="3"/>
      <x:c r="O7" s="3"/>
      <x:c r="P7" s="3"/>
    </x:row>
    <x:row r="8" ht="20" customHeight="1">
      <x:c r="A8" s="2"/>
      <x:c r="B8" s="2"/>
      <x:c r="C8" s="37" t="str">
        <x:v>Organic revenue growth</x:v>
      </x:c>
      <x:c r="D8" s="46" t="n">
        <x:f>'Inputs'!E7/'Inputs'!D7-1</x:f>
        <x:v>0.0344446516196808</x:v>
      </x:c>
      <x:c r="E8" s="46" t="n">
        <x:f>'Assumptions'!E42</x:f>
        <x:v>0.04</x:v>
      </x:c>
      <x:c r="F8" s="46" t="n">
        <x:f>'Assumptions'!F42</x:f>
        <x:v>0.04</x:v>
      </x:c>
      <x:c r="G8" s="46" t="n">
        <x:f>'Assumptions'!G42</x:f>
        <x:v>0.04</x:v>
      </x:c>
      <x:c r="H8" s="46" t="n">
        <x:f>'Assumptions'!H42</x:f>
        <x:v>0.04</x:v>
      </x:c>
      <x:c r="I8" s="46" t="n">
        <x:f>'Assumptions'!I42</x:f>
        <x:v>0.04</x:v>
      </x:c>
      <x:c r="J8" s="3"/>
      <x:c r="K8" s="3"/>
      <x:c r="L8" s="3"/>
      <x:c r="M8" s="3"/>
      <x:c r="N8" s="3"/>
      <x:c r="O8" s="3"/>
      <x:c r="P8" s="3"/>
    </x:row>
    <x:row r="9" ht="20" customHeight="1">
      <x:c r="A9" s="2"/>
      <x:c r="B9" s="2"/>
      <x:c r="C9" s="37" t="str">
        <x:v>Operating EBITDA margin before initiatives</x:v>
      </x:c>
      <x:c r="D9" s="38" t="n">
        <x:f>D11/D7</x:f>
        <x:v>0.1803546071229167</x:v>
      </x:c>
      <x:c r="E9" s="46" t="n">
        <x:f>$D$9+'Assumptions'!E47</x:f>
        <x:v>0.1803546071229167</x:v>
      </x:c>
      <x:c r="F9" s="46" t="n">
        <x:f>$D$9+'Assumptions'!F47</x:f>
        <x:v>0.1803546071229167</x:v>
      </x:c>
      <x:c r="G9" s="46" t="n">
        <x:f>$D$9+'Assumptions'!G47</x:f>
        <x:v>0.1803546071229167</x:v>
      </x:c>
      <x:c r="H9" s="46" t="n">
        <x:f>$D$9+'Assumptions'!H47</x:f>
        <x:v>0.1803546071229167</x:v>
      </x:c>
      <x:c r="I9" s="46" t="n">
        <x:f>$D$9+'Assumptions'!I47</x:f>
        <x:v>0.1803546071229167</x:v>
      </x:c>
      <x:c r="J9" s="3"/>
      <x:c r="K9" s="3"/>
      <x:c r="L9" s="3"/>
      <x:c r="M9" s="3"/>
      <x:c r="N9" s="3"/>
      <x:c r="O9" s="3"/>
      <x:c r="P9" s="3"/>
    </x:row>
    <x:row r="10" ht="20" customHeight="1">
      <x:c r="A10" s="2"/>
      <x:c r="B10" s="2"/>
      <x:c r="C10" s="2" t="str">
        <x:v>Total revenue</x:v>
      </x:c>
      <x:c r="D10" s="3" t="n">
        <x:f>D7</x:f>
        <x:v>682.389</x:v>
      </x:c>
      <x:c r="E10" s="8" t="n">
        <x:f>E7+'Operations'!E11*'Assumptions'!$E$7</x:f>
        <x:v>709.68456</x:v>
      </x:c>
      <x:c r="F10" s="8" t="n">
        <x:f>F7+'Operations'!F11*'Assumptions'!$E$7</x:f>
        <x:v>738.0719424</x:v>
      </x:c>
      <x:c r="G10" s="8" t="n">
        <x:f>G7+'Operations'!G11*'Assumptions'!$E$7</x:f>
        <x:v>767.594820096</x:v>
      </x:c>
      <x:c r="H10" s="8" t="n">
        <x:f>H7+'Operations'!H11*'Assumptions'!$E$7</x:f>
        <x:v>798.29861289984</x:v>
      </x:c>
      <x:c r="I10" s="8" t="n">
        <x:f>I7+'Operations'!I11*'Assumptions'!$E$7</x:f>
        <x:v>830.2305574158337</x:v>
      </x:c>
      <x:c r="J10" s="3"/>
      <x:c r="K10" s="3"/>
      <x:c r="L10" s="3"/>
      <x:c r="M10" s="3"/>
      <x:c r="N10" s="3"/>
      <x:c r="O10" s="3"/>
      <x:c r="P10" s="3"/>
    </x:row>
    <x:row r="11" ht="20" customHeight="1">
      <x:c r="A11" s="2"/>
      <x:c r="B11" s="2"/>
      <x:c r="C11" s="28" t="str">
        <x:v>Recurring EBITDA</x:v>
      </x:c>
      <x:c r="D11" s="49" t="n">
        <x:f>'Inputs'!E9+'Inputs'!E11</x:f>
        <x:v>123.072</x:v>
      </x:c>
      <x:c r="E11" s="49" t="n">
        <x:f>E7*E9+'Operations'!E14*'Assumptions'!$E$7</x:f>
        <x:v>127.99488000000001</x:v>
      </x:c>
      <x:c r="F11" s="49" t="n">
        <x:f>F7*F9+'Operations'!F14*'Assumptions'!$E$7</x:f>
        <x:v>133.11467520000002</x:v>
      </x:c>
      <x:c r="G11" s="49" t="n">
        <x:f>G7*G9+'Operations'!G14*'Assumptions'!$E$7</x:f>
        <x:v>138.439262208</x:v>
      </x:c>
      <x:c r="H11" s="49" t="n">
        <x:f>H7*H9+'Operations'!H14*'Assumptions'!$E$7</x:f>
        <x:v>143.97683269632</x:v>
      </x:c>
      <x:c r="I11" s="49" t="n">
        <x:f>I7*I9+'Operations'!I14*'Assumptions'!$E$7</x:f>
        <x:v>149.73590600417282</x:v>
      </x:c>
      <x:c r="J11" s="3"/>
      <x:c r="K11" s="3"/>
      <x:c r="L11" s="3"/>
      <x:c r="M11" s="3"/>
      <x:c r="N11" s="3"/>
      <x:c r="O11" s="3"/>
      <x:c r="P11" s="3"/>
    </x:row>
    <x:row r="12" ht="20" customHeight="1">
      <x:c r="A12" s="2"/>
      <x:c r="B12" s="2"/>
      <x:c r="C12" s="2" t="str">
        <x:v>Implementation expense</x:v>
      </x:c>
      <x:c r="D12" s="3" t="n">
        <x:f>0</x:f>
        <x:v>0</x:v>
      </x:c>
      <x:c r="E12" s="8" t="n">
        <x:f>'Operations'!E15*'Assumptions'!$E$7</x:f>
        <x:v>0</x:v>
      </x:c>
      <x:c r="F12" s="8" t="n">
        <x:f>'Operations'!F15*'Assumptions'!$E$7</x:f>
        <x:v>0</x:v>
      </x:c>
      <x:c r="G12" s="8" t="n">
        <x:f>'Operations'!G15*'Assumptions'!$E$7</x:f>
        <x:v>0</x:v>
      </x:c>
      <x:c r="H12" s="8" t="n">
        <x:f>'Operations'!H15*'Assumptions'!$E$7</x:f>
        <x:v>0</x:v>
      </x:c>
      <x:c r="I12" s="8" t="n">
        <x:f>'Operations'!I15*'Assumptions'!$E$7</x:f>
        <x:v>0</x:v>
      </x:c>
      <x:c r="J12" s="3"/>
      <x:c r="K12" s="3"/>
      <x:c r="L12" s="3"/>
      <x:c r="M12" s="3"/>
      <x:c r="N12" s="3"/>
      <x:c r="O12" s="3"/>
      <x:c r="P12" s="3"/>
    </x:row>
    <x:row r="13" ht="20" customHeight="1">
      <x:c r="A13" s="2"/>
      <x:c r="B13" s="2"/>
      <x:c r="C13" s="28" t="str">
        <x:v>EBITDA after implementation</x:v>
      </x:c>
      <x:c r="D13" s="29" t="n">
        <x:f>D11</x:f>
        <x:v>123.072</x:v>
      </x:c>
      <x:c r="E13" s="29" t="n">
        <x:f>E11-E12</x:f>
        <x:v>127.99488000000001</x:v>
      </x:c>
      <x:c r="F13" s="29" t="n">
        <x:f>F11-F12</x:f>
        <x:v>133.11467520000002</x:v>
      </x:c>
      <x:c r="G13" s="29" t="n">
        <x:f>G11-G12</x:f>
        <x:v>138.439262208</x:v>
      </x:c>
      <x:c r="H13" s="29" t="n">
        <x:f>H11-H12</x:f>
        <x:v>143.97683269632</x:v>
      </x:c>
      <x:c r="I13" s="29" t="n">
        <x:f>I11-I12</x:f>
        <x:v>149.73590600417282</x:v>
      </x:c>
      <x:c r="J13" s="3"/>
      <x:c r="K13" s="3"/>
      <x:c r="L13" s="3"/>
      <x:c r="M13" s="3"/>
      <x:c r="N13" s="3"/>
      <x:c r="O13" s="3"/>
      <x:c r="P13" s="3"/>
    </x:row>
    <x:row r="14" ht="20" customHeight="1">
      <x:c r="A14" s="2"/>
      <x:c r="B14" s="2"/>
      <x:c r="C14" s="2" t="str">
        <x:v>Depreciation and amortization</x:v>
      </x:c>
      <x:c r="D14" s="8" t="n">
        <x:f>'Inputs'!E11</x:f>
        <x:v>27.709</x:v>
      </x:c>
      <x:c r="E14" s="8" t="n">
        <x:f>E10*'Assumptions'!$E$24+'Operations'!E18/'Assumptions'!$E$55*'Assumptions'!$E$7</x:f>
        <x:v>28.81736</x:v>
      </x:c>
      <x:c r="F14" s="8" t="n">
        <x:f>F10*'Assumptions'!$E$24+'Operations'!F18/'Assumptions'!$E$55*'Assumptions'!$E$7</x:f>
        <x:v>29.9700544</x:v>
      </x:c>
      <x:c r="G14" s="8" t="n">
        <x:f>G10*'Assumptions'!$E$24+'Operations'!G18/'Assumptions'!$E$55*'Assumptions'!$E$7</x:f>
        <x:v>31.168856576</x:v>
      </x:c>
      <x:c r="H14" s="8" t="n">
        <x:f>H10*'Assumptions'!$E$24+'Operations'!H18/'Assumptions'!$E$55*'Assumptions'!$E$7</x:f>
        <x:v>32.41561083904</x:v>
      </x:c>
      <x:c r="I14" s="8" t="n">
        <x:f>I10*'Assumptions'!$E$24+'Operations'!I18/'Assumptions'!$E$55*'Assumptions'!$E$7</x:f>
        <x:v>33.7122352726016</x:v>
      </x:c>
      <x:c r="J14" s="3"/>
      <x:c r="K14" s="3"/>
      <x:c r="L14" s="3"/>
      <x:c r="M14" s="3"/>
      <x:c r="N14" s="3"/>
      <x:c r="O14" s="3"/>
      <x:c r="P14" s="3"/>
    </x:row>
    <x:row r="15" ht="20" customHeight="1">
      <x:c r="A15" s="2"/>
      <x:c r="B15" s="2"/>
      <x:c r="C15" s="2" t="str">
        <x:v>Operating income</x:v>
      </x:c>
      <x:c r="D15" s="8" t="n">
        <x:f>'Inputs'!E9</x:f>
        <x:v>95.363</x:v>
      </x:c>
      <x:c r="E15" s="3" t="n">
        <x:f>E13-E14</x:f>
        <x:v>99.17752000000002</x:v>
      </x:c>
      <x:c r="F15" s="3" t="n">
        <x:f>F13-F14</x:f>
        <x:v>103.14462080000003</x:v>
      </x:c>
      <x:c r="G15" s="3" t="n">
        <x:f>G13-G14</x:f>
        <x:v>107.270405632</x:v>
      </x:c>
      <x:c r="H15" s="3" t="n">
        <x:f>H13-H14</x:f>
        <x:v>111.56122185728</x:v>
      </x:c>
      <x:c r="I15" s="3" t="n">
        <x:f>I13-I14</x:f>
        <x:v>116.02367073157122</x:v>
      </x:c>
      <x:c r="J15" s="3"/>
      <x:c r="K15" s="3"/>
      <x:c r="L15" s="3"/>
      <x:c r="M15" s="3"/>
      <x:c r="N15" s="3"/>
      <x:c r="O15" s="3"/>
      <x:c r="P15" s="3"/>
    </x:row>
    <x:row r="16" ht="20" customHeight="1">
      <x:c r="A16" s="2"/>
      <x:c r="B16" s="2"/>
      <x:c r="C16" s="2" t="str">
        <x:v>Cash interest expense</x:v>
      </x:c>
      <x:c r="D16" s="8" t="n">
        <x:f>'Inputs'!E12</x:f>
        <x:v>23.396</x:v>
      </x:c>
      <x:c r="E16" s="8" t="n">
        <x:f>'Debt'!E9</x:f>
        <x:v>44.30592000000001</x:v>
      </x:c>
      <x:c r="F16" s="8" t="n">
        <x:f>'Debt'!F9</x:f>
        <x:v>40.91902447360001</x:v>
      </x:c>
      <x:c r="G16" s="8" t="n">
        <x:f>'Debt'!G9</x:f>
        <x:v>37.08710518656001</x:v>
      </x:c>
      <x:c r="H16" s="8" t="n">
        <x:f>'Debt'!H9</x:f>
        <x:v>32.773788312079375</x:v>
      </x:c>
      <x:c r="I16" s="8" t="n">
        <x:f>'Debt'!I9</x:f>
        <x:v>27.94013069770293</x:v>
      </x:c>
      <x:c r="J16" s="3"/>
      <x:c r="K16" s="3"/>
      <x:c r="L16" s="3"/>
      <x:c r="M16" s="3"/>
      <x:c r="N16" s="3"/>
      <x:c r="O16" s="3"/>
      <x:c r="P16" s="3"/>
    </x:row>
    <x:row r="17" ht="20" customHeight="1">
      <x:c r="A17" s="2"/>
      <x:c r="B17" s="2"/>
      <x:c r="C17" s="2" t="str">
        <x:v>Cash taxes</x:v>
      </x:c>
      <x:c r="D17" s="8" t="n">
        <x:f>'Inputs'!E13</x:f>
        <x:v>16.147</x:v>
      </x:c>
      <x:c r="E17" s="8" t="n">
        <x:f>MAX(0,E15-E16)*'Assumptions'!$E$22</x:f>
        <x:v>13.717900000000002</x:v>
      </x:c>
      <x:c r="F17" s="8" t="n">
        <x:f>MAX(0,F15-F16)*'Assumptions'!$E$22</x:f>
        <x:v>15.556399081600004</x:v>
      </x:c>
      <x:c r="G17" s="8" t="n">
        <x:f>MAX(0,G15-G16)*'Assumptions'!$E$22</x:f>
        <x:v>17.54582511136</x:v>
      </x:c>
      <x:c r="H17" s="8" t="n">
        <x:f>MAX(0,H15-H16)*'Assumptions'!$E$22</x:f>
        <x:v>19.696858386300157</x:v>
      </x:c>
      <x:c r="I17" s="8" t="n">
        <x:f>MAX(0,I15-I16)*'Assumptions'!$E$22</x:f>
        <x:v>22.020885008467072</x:v>
      </x:c>
      <x:c r="J17" s="3"/>
      <x:c r="K17" s="3"/>
      <x:c r="L17" s="3"/>
      <x:c r="M17" s="3"/>
      <x:c r="N17" s="3"/>
      <x:c r="O17" s="3"/>
      <x:c r="P17" s="3"/>
    </x:row>
    <x:row r="18" ht="20" customHeight="1">
      <x:c r="A18" s="2"/>
      <x:c r="B18" s="2"/>
      <x:c r="C18" s="2" t="str">
        <x:v>Capital expenditure</x:v>
      </x:c>
      <x:c r="D18" s="8" t="n">
        <x:f>'Inputs'!E15</x:f>
        <x:v>17.376</x:v>
      </x:c>
      <x:c r="E18" s="8" t="n">
        <x:f>E10*'Assumptions'!$E$23+'Operations'!E16*'Assumptions'!$E$7</x:f>
        <x:v>22.70990592</x:v>
      </x:c>
      <x:c r="F18" s="8" t="n">
        <x:f>F10*'Assumptions'!$E$23+'Operations'!F16*'Assumptions'!$E$7</x:f>
        <x:v>23.618302156800002</x:v>
      </x:c>
      <x:c r="G18" s="8" t="n">
        <x:f>G10*'Assumptions'!$E$23+'Operations'!G16*'Assumptions'!$E$7</x:f>
        <x:v>24.563034243072</x:v>
      </x:c>
      <x:c r="H18" s="8" t="n">
        <x:f>H10*'Assumptions'!$E$23+'Operations'!H16*'Assumptions'!$E$7</x:f>
        <x:v>25.54555561279488</x:v>
      </x:c>
      <x:c r="I18" s="8" t="n">
        <x:f>I10*'Assumptions'!$E$23+'Operations'!I16*'Assumptions'!$E$7</x:f>
        <x:v>26.56737783730668</x:v>
      </x:c>
      <x:c r="J18" s="3"/>
      <x:c r="K18" s="3"/>
      <x:c r="L18" s="3"/>
      <x:c r="M18" s="3"/>
      <x:c r="N18" s="3"/>
      <x:c r="O18" s="3"/>
      <x:c r="P18" s="3"/>
    </x:row>
    <x:row r="19" ht="20" customHeight="1">
      <x:c r="A19" s="2"/>
      <x:c r="B19" s="2"/>
      <x:c r="C19" s="2" t="str">
        <x:v>Closing operating working capital</x:v>
      </x:c>
      <x:c r="D19" s="8" t="n">
        <x:f>SUM('Inputs'!E18:E20)-SUM('Inputs'!E21:E22)</x:f>
        <x:v>123.124</x:v>
      </x:c>
      <x:c r="E19" s="8" t="n">
        <x:f>E10*'Assumptions'!$E$25-'Operations'!E17*'Assumptions'!$E$7</x:f>
        <x:v>128.04896</x:v>
      </x:c>
      <x:c r="F19" s="8" t="n">
        <x:f>F10*'Assumptions'!$E$25-'Operations'!F17*'Assumptions'!$E$7</x:f>
        <x:v>133.1709184</x:v>
      </x:c>
      <x:c r="G19" s="8" t="n">
        <x:f>G10*'Assumptions'!$E$25-'Operations'!G17*'Assumptions'!$E$7</x:f>
        <x:v>138.497755136</x:v>
      </x:c>
      <x:c r="H19" s="8" t="n">
        <x:f>H10*'Assumptions'!$E$25-'Operations'!H17*'Assumptions'!$E$7</x:f>
        <x:v>144.03766534144</x:v>
      </x:c>
      <x:c r="I19" s="8" t="n">
        <x:f>I10*'Assumptions'!$E$25-'Operations'!I17*'Assumptions'!$E$7</x:f>
        <x:v>149.79917195509762</x:v>
      </x:c>
      <x:c r="J19" s="3"/>
      <x:c r="K19" s="3"/>
      <x:c r="L19" s="3"/>
      <x:c r="M19" s="3"/>
      <x:c r="N19" s="3"/>
      <x:c r="O19" s="3"/>
      <x:c r="P19" s="3"/>
    </x:row>
    <x:row r="20" ht="20" customHeight="1">
      <x:c r="A20" s="2"/>
      <x:c r="B20" s="2"/>
      <x:c r="C20" s="2" t="str">
        <x:v>Change in operating working capital</x:v>
      </x:c>
      <x:c r="D20" s="3"/>
      <x:c r="E20" s="3" t="n">
        <x:f>E19-D19</x:f>
        <x:v>4.924959999999999</x:v>
      </x:c>
      <x:c r="F20" s="3" t="n">
        <x:f>F19-E19</x:f>
        <x:v>5.121958400000011</x:v>
      </x:c>
      <x:c r="G20" s="3" t="n">
        <x:f>G19-F19</x:f>
        <x:v>5.32683673599999</x:v>
      </x:c>
      <x:c r="H20" s="3" t="n">
        <x:f>H19-G19</x:f>
        <x:v>5.539910205440009</x:v>
      </x:c>
      <x:c r="I20" s="3" t="n">
        <x:f>I19-H19</x:f>
        <x:v>5.761506613657616</x:v>
      </x:c>
      <x:c r="J20" s="3"/>
      <x:c r="K20" s="3"/>
      <x:c r="L20" s="3"/>
      <x:c r="M20" s="3"/>
      <x:c r="N20" s="3"/>
      <x:c r="O20" s="3"/>
      <x:c r="P20" s="3"/>
    </x:row>
    <x:row r="21" ht="20" customHeight="1">
      <x:c r="A21" s="2"/>
      <x:c r="B21" s="2"/>
      <x:c r="C21" s="28" t="str">
        <x:v>Levered FCF before principal payments</x:v>
      </x:c>
      <x:c r="D21" s="29"/>
      <x:c r="E21" s="29" t="n">
        <x:f>E13-E16-E17-E18-E20</x:f>
        <x:v>42.33619408000001</x:v>
      </x:c>
      <x:c r="F21" s="29" t="n">
        <x:f>F13-F16-F17-F18-F20</x:f>
        <x:v>47.89899108799999</x:v>
      </x:c>
      <x:c r="G21" s="29" t="n">
        <x:f>G13-G16-G17-G18-G20</x:f>
        <x:v>53.916460931008004</x:v>
      </x:c>
      <x:c r="H21" s="29" t="n">
        <x:f>H13-H16-H17-H18-H20</x:f>
        <x:v>60.42072017970557</x:v>
      </x:c>
      <x:c r="I21" s="29" t="n">
        <x:f>I13-I16-I17-I18-I20</x:f>
        <x:v>67.44600584703852</x:v>
      </x:c>
      <x:c r="J21" s="3"/>
      <x:c r="K21" s="3"/>
      <x:c r="L21" s="3"/>
      <x:c r="M21" s="3"/>
      <x:c r="N21" s="3"/>
      <x:c r="O21" s="3"/>
      <x:c r="P21" s="3"/>
    </x:row>
    <x:row r="22" ht="20" customHeight="1">
      <x:c r="A22" s="2"/>
      <x:c r="B22" s="2"/>
      <x:c r="C22" s="28" t="str">
        <x:v>Unlevered free cash flow</x:v>
      </x:c>
      <x:c r="D22" s="29"/>
      <x:c r="E22" s="49" t="n">
        <x:f>E13-MAX(0,E15)*'Assumptions'!$E$22-E18-E20</x:f>
        <x:v>75.56563408000001</x:v>
      </x:c>
      <x:c r="F22" s="49" t="n">
        <x:f>F13-MAX(0,F15)*'Assumptions'!$E$22-F18-F20</x:f>
        <x:v>78.5882594432</x:v>
      </x:c>
      <x:c r="G22" s="49" t="n">
        <x:f>G13-MAX(0,G15)*'Assumptions'!$E$22-G18-G20</x:f>
        <x:v>81.73178982092801</x:v>
      </x:c>
      <x:c r="H22" s="49" t="n">
        <x:f>H13-MAX(0,H15)*'Assumptions'!$E$22-H18-H20</x:f>
        <x:v>85.00106141376511</x:v>
      </x:c>
      <x:c r="I22" s="49" t="n">
        <x:f>I13-MAX(0,I15)*'Assumptions'!$E$22-I18-I20</x:f>
        <x:v>88.40110387031572</x:v>
      </x:c>
      <x:c r="J22" s="3"/>
      <x:c r="K22" s="3"/>
      <x:c r="L22" s="3"/>
      <x:c r="M22" s="3"/>
      <x:c r="N22" s="3"/>
      <x:c r="O22" s="3"/>
      <x:c r="P22" s="3"/>
    </x:row>
    <x:row r="23" ht="20" customHeight="1">
      <x:c r="A23" s="2"/>
      <x:c r="B23" s="2"/>
      <x:c r="C23" s="2" t="str">
        <x:v>Net income (simplified)</x:v>
      </x:c>
      <x:c r="D23" s="3"/>
      <x:c r="E23" s="3" t="n">
        <x:f>E15-E16-E17</x:f>
        <x:v>41.15370000000001</x:v>
      </x:c>
      <x:c r="F23" s="3" t="n">
        <x:f>F15-F16-F17</x:f>
        <x:v>46.66919724480001</x:v>
      </x:c>
      <x:c r="G23" s="3" t="n">
        <x:f>G15-G16-G17</x:f>
        <x:v>52.637475334079994</x:v>
      </x:c>
      <x:c r="H23" s="3" t="n">
        <x:f>H15-H16-H17</x:f>
        <x:v>59.09057515890047</x:v>
      </x:c>
      <x:c r="I23" s="3" t="n">
        <x:f>I15-I16-I17</x:f>
        <x:v>66.06265502540121</x:v>
      </x:c>
      <x:c r="J23" s="3"/>
      <x:c r="K23" s="3"/>
      <x:c r="L23" s="3"/>
      <x:c r="M23" s="3"/>
      <x:c r="N23" s="3"/>
      <x:c r="O23" s="3"/>
      <x:c r="P23" s="3"/>
    </x:row>
    <x:row r="24" ht="20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 ht="20" customHeight="1">
      <x:c r="A25" s="2"/>
      <x:c r="B25" s="2"/>
      <x:c r="C25" s="2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 ht="20" customHeight="1">
      <x:c r="A26" s="2"/>
      <x:c r="B26" s="2"/>
      <x:c r="C26" s="2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 ht="20" customHeight="1">
      <x:c r="A27" s="2"/>
      <x:c r="B27" s="2"/>
      <x:c r="C27" s="2" t="str">
        <x:v>Year-end discount factor</x:v>
      </x:c>
      <x:c r="D27" s="3"/>
      <x:c r="E27" s="47" t="n">
        <x:f>1/(1+'Assumptions'!$E$27)^(E$6-2025)</x:f>
        <x:v>0.9090909090909091</x:v>
      </x:c>
      <x:c r="F27" s="47" t="n">
        <x:f>1/(1+'Assumptions'!$E$27)^(F$6-2025)</x:f>
        <x:v>0.8264462809917354</x:v>
      </x:c>
      <x:c r="G27" s="47" t="n">
        <x:f>1/(1+'Assumptions'!$E$27)^(G$6-2025)</x:f>
        <x:v>0.7513148009015775</x:v>
      </x:c>
      <x:c r="H27" s="47" t="n">
        <x:f>1/(1+'Assumptions'!$E$27)^(H$6-2025)</x:f>
        <x:v>0.6830134553650705</x:v>
      </x:c>
      <x:c r="I27" s="47" t="n">
        <x:f>1/(1+'Assumptions'!$E$27)^(I$6-2025)</x:f>
        <x:v>0.6209213230591549</x:v>
      </x:c>
      <x:c r="J27" s="3"/>
      <x:c r="K27" s="3"/>
      <x:c r="L27" s="3"/>
      <x:c r="M27" s="3"/>
      <x:c r="N27" s="3"/>
      <x:c r="O27" s="3"/>
      <x:c r="P27" s="3"/>
    </x:row>
    <x:row r="28" ht="20" customHeight="1">
      <x:c r="A28" s="2"/>
      <x:c r="B28" s="2"/>
      <x:c r="C28" s="28" t="str">
        <x:v>PV of unlevered free cash flow</x:v>
      </x:c>
      <x:c r="D28" s="29"/>
      <x:c r="E28" s="29" t="n">
        <x:f>E22*E27</x:f>
        <x:v>68.69603098181818</x:v>
      </x:c>
      <x:c r="F28" s="29" t="n">
        <x:f>F22*F27</x:f>
        <x:v>64.94897474644628</x:v>
      </x:c>
      <x:c r="G28" s="29" t="n">
        <x:f>G22*G27</x:f>
        <x:v>61.40630339664011</x:v>
      </x:c>
      <x:c r="H28" s="29" t="n">
        <x:f>H22*H27</x:f>
        <x:v>58.05686866591428</x:v>
      </x:c>
      <x:c r="I28" s="29" t="n">
        <x:f>I22*I27</x:f>
        <x:v>54.89013037504622</x:v>
      </x:c>
      <x:c r="J28" s="3"/>
      <x:c r="K28" s="3"/>
      <x:c r="L28" s="3"/>
      <x:c r="M28" s="3"/>
      <x:c r="N28" s="3"/>
      <x:c r="O28" s="3"/>
      <x:c r="P28" s="3"/>
    </x:row>
    <x:row r="29" ht="20" customHeight="1">
      <x:c r="A29" s="2"/>
      <x:c r="B29" s="2"/>
      <x:c r="C29" s="2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 ht="20" customHeight="1">
      <x:c r="A30" s="2"/>
      <x:c r="B30" s="2"/>
      <x:c r="C30" s="2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</x:row>
    <x:row r="31" ht="20" customHeight="1">
      <x:c r="A31" s="2"/>
      <x:c r="B31" s="2"/>
      <x:c r="C31" s="21" t="str">
        <x:v>USD millions. Historical EBITDA proxy = reported operating income + cash-flow D&amp;A.</x:v>
      </x:c>
      <x:c r="D31" s="22"/>
      <x:c r="E31" s="22"/>
      <x:c r="F31" s="22"/>
      <x:c r="G31" s="22"/>
      <x:c r="H31" s="22"/>
      <x:c r="I31" s="22"/>
      <x:c r="J31" s="3"/>
      <x:c r="K31" s="3"/>
      <x:c r="L31" s="3"/>
      <x:c r="M31" s="3"/>
      <x:c r="N31" s="3"/>
      <x:c r="O31" s="3"/>
      <x:c r="P31" s="3"/>
    </x:row>
    <x:row r="32" ht="20" customHeight="1">
      <x:c r="A32" s="2"/>
      <x:c r="B32" s="2"/>
      <x:c r="C32" s="21" t="str">
        <x:v>Cash taxes are simplified. No NOLs, interest deduction limits or acquisition tax effects.</x:v>
      </x:c>
      <x:c r="D32" s="22"/>
      <x:c r="E32" s="22"/>
      <x:c r="F32" s="22"/>
      <x:c r="G32" s="22"/>
      <x:c r="H32" s="22"/>
      <x:c r="I32" s="22"/>
      <x:c r="J32" s="3"/>
      <x:c r="K32" s="3"/>
      <x:c r="L32" s="3"/>
      <x:c r="M32" s="3"/>
      <x:c r="N32" s="3"/>
      <x:c r="O32" s="3"/>
      <x:c r="P32" s="3"/>
    </x:row>
    <x:row r="33" ht="20" customHeight="1">
      <x:c r="A33" s="2"/>
      <x:c r="B33" s="2"/>
      <x:c r="C33" s="21" t="str">
        <x:v>This is a cash-flow acquisition model, not a full three-statement / purchase-accounting model.</x:v>
      </x:c>
      <x:c r="D33" s="22"/>
      <x:c r="E33" s="22"/>
      <x:c r="F33" s="22"/>
      <x:c r="G33" s="22"/>
      <x:c r="H33" s="22"/>
      <x:c r="I33" s="22"/>
      <x:c r="J33" s="3"/>
      <x:c r="K33" s="3"/>
      <x:c r="L33" s="3"/>
      <x:c r="M33" s="3"/>
      <x:c r="N33" s="3"/>
      <x:c r="O33" s="3"/>
      <x:c r="P33" s="3"/>
    </x:row>
    <x:row r="34" ht="20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 ht="20" customHeight="1">
      <x:c r="A35" s="2"/>
      <x:c r="B35" s="2"/>
      <x:c r="C35" s="2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 ht="20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 ht="20" customHeight="1">
      <x:c r="A37" s="2"/>
      <x:c r="B37" s="2"/>
      <x:c r="C37" s="2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 ht="20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 ht="20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 ht="20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 ht="20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 ht="20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 ht="20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 ht="20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 ht="20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 ht="20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 ht="20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 ht="20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 ht="20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 ht="20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 ht="20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 ht="20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 ht="20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 ht="20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 ht="20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 ht="20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 ht="20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 ht="20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  <x:row r="59" ht="20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</x:row>
    <x:row r="60" ht="20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</x:row>
    <x:row r="61" ht="20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</x:row>
    <x:row r="62" ht="20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</x:row>
    <x:row r="63" ht="20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</x:row>
    <x:row r="64" ht="20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</x:row>
    <x:row r="65" ht="20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</x:row>
    <x:row r="66" ht="20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</x:row>
    <x:row r="67" ht="20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</x:row>
    <x:row r="68" ht="20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</x:row>
    <x:row r="69" ht="20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</x:row>
    <x:row r="70" ht="20" customHeight="1">
      <x:c r="A70" s="2"/>
      <x:c r="B70" s="2"/>
      <x:c r="C70" s="2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</x:row>
    <x:row r="71" ht="20" customHeight="1">
      <x:c r="A71" s="2"/>
      <x:c r="B71" s="2"/>
      <x:c r="C71" s="2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</x:row>
    <x:row r="72" ht="20" customHeight="1">
      <x:c r="A72" s="2"/>
      <x:c r="B72" s="2"/>
      <x:c r="C72" s="2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</x:row>
    <x:row r="73" ht="20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</x:row>
    <x:row r="74" ht="20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</x:row>
    <x:row r="75" ht="20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</x:row>
    <x:row r="76" ht="20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</x:row>
    <x:row r="77" ht="20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</x:row>
    <x:row r="78" ht="20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</x:row>
    <x:row r="79" ht="20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</x:row>
    <x:row r="80" ht="20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0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2"/>
      <x:c r="B2" s="2"/>
      <x:c r="C2" s="4" t="str">
        <x:v>Debt</x:v>
      </x:c>
      <x:c r="D2" s="5"/>
      <x:c r="E2" s="5"/>
      <x:c r="F2" s="5"/>
      <x:c r="G2" s="5"/>
      <x:c r="H2" s="5"/>
      <x:c r="I2" s="5"/>
      <x:c r="J2" s="3"/>
      <x:c r="K2" s="3"/>
      <x:c r="L2" s="3"/>
      <x:c r="M2" s="3"/>
      <x:c r="N2" s="3"/>
      <x:c r="O2" s="3"/>
      <x:c r="P2" s="3"/>
    </x:row>
    <x:row r="3" ht="20" customHeight="1">
      <x:c r="A3" s="2"/>
      <x:c r="B3" s="2"/>
      <x:c r="C3" s="6"/>
      <x:c r="D3" s="7"/>
      <x:c r="E3" s="7"/>
      <x:c r="F3" s="7"/>
      <x:c r="G3" s="7"/>
      <x:c r="H3" s="7"/>
      <x:c r="I3" s="7"/>
      <x:c r="J3" s="3"/>
      <x:c r="K3" s="3"/>
      <x:c r="L3" s="3"/>
      <x:c r="M3" s="3"/>
      <x:c r="N3" s="3"/>
      <x:c r="O3" s="3"/>
      <x:c r="P3" s="3"/>
    </x:row>
    <x:row r="4" ht="20" customHeight="1">
      <x:c r="A4" s="2"/>
      <x:c r="B4" s="2"/>
      <x:c r="C4" s="2" t="str">
        <x:v>Case selected</x:v>
      </x:c>
      <x:c r="D4" s="3"/>
      <x:c r="E4" s="10" t="str">
        <x:f>'Assumptions'!E5</x:f>
        <x:v>Base</x:v>
      </x:c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20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 ht="20" customHeight="1">
      <x:c r="A6" s="2"/>
      <x:c r="B6" s="2"/>
      <x:c r="C6" s="15"/>
      <x:c r="D6" s="18"/>
      <x:c r="E6" s="19" t="n">
        <x:v>2026</x:v>
      </x:c>
      <x:c r="F6" s="19" t="n">
        <x:v>2027</x:v>
      </x:c>
      <x:c r="G6" s="19" t="n">
        <x:v>2028</x:v>
      </x:c>
      <x:c r="H6" s="19" t="n">
        <x:v>2029</x:v>
      </x:c>
      <x:c r="I6" s="19" t="n">
        <x:v>2030</x:v>
      </x:c>
      <x:c r="J6" s="3"/>
      <x:c r="K6" s="3"/>
      <x:c r="L6" s="3"/>
      <x:c r="M6" s="3"/>
      <x:c r="N6" s="3"/>
      <x:c r="O6" s="3"/>
      <x:c r="P6" s="3"/>
    </x:row>
    <x:row r="7" ht="20" customHeight="1">
      <x:c r="A7" s="2"/>
      <x:c r="B7" s="2"/>
      <x:c r="C7" s="2" t="str">
        <x:v>Opening term loan</x:v>
      </x:c>
      <x:c r="D7" s="3"/>
      <x:c r="E7" s="8" t="n">
        <x:f>'Valuation'!$E$9</x:f>
        <x:v>553.8240000000001</x:v>
      </x:c>
      <x:c r="F7" s="3" t="n">
        <x:f>E19</x:f>
        <x:v>511.4878059200001</x:v>
      </x:c>
      <x:c r="G7" s="3" t="n">
        <x:f>F19</x:f>
        <x:v>463.58881483200014</x:v>
      </x:c>
      <x:c r="H7" s="3" t="n">
        <x:f>G19</x:f>
        <x:v>409.67235390099216</x:v>
      </x:c>
      <x:c r="I7" s="3" t="n">
        <x:f>H19</x:f>
        <x:v>349.2516337212866</x:v>
      </x:c>
      <x:c r="J7" s="3"/>
      <x:c r="K7" s="3"/>
      <x:c r="L7" s="3"/>
      <x:c r="M7" s="3"/>
      <x:c r="N7" s="3"/>
      <x:c r="O7" s="3"/>
      <x:c r="P7" s="3"/>
    </x:row>
    <x:row r="8" ht="20" customHeight="1">
      <x:c r="A8" s="2"/>
      <x:c r="B8" s="2"/>
      <x:c r="C8" s="2" t="str">
        <x:v>Opening revolver</x:v>
      </x:c>
      <x:c r="D8" s="3"/>
      <x:c r="E8" s="3" t="n">
        <x:f>0</x:f>
        <x:v>0</x:v>
      </x:c>
      <x:c r="F8" s="3" t="n">
        <x:f>E20</x:f>
        <x:v>0</x:v>
      </x:c>
      <x:c r="G8" s="3" t="n">
        <x:f>F20</x:f>
        <x:v>0</x:v>
      </x:c>
      <x:c r="H8" s="3" t="n">
        <x:f>G20</x:f>
        <x:v>0</x:v>
      </x:c>
      <x:c r="I8" s="3" t="n">
        <x:f>H20</x:f>
        <x:v>0</x:v>
      </x:c>
      <x:c r="J8" s="3"/>
      <x:c r="K8" s="3"/>
      <x:c r="L8" s="3"/>
      <x:c r="M8" s="3"/>
      <x:c r="N8" s="3"/>
      <x:c r="O8" s="3"/>
      <x:c r="P8" s="3"/>
    </x:row>
    <x:row r="9" ht="20" customHeight="1">
      <x:c r="A9" s="2"/>
      <x:c r="B9" s="2"/>
      <x:c r="C9" s="2" t="str">
        <x:v>Cash interest expense</x:v>
      </x:c>
      <x:c r="D9" s="3"/>
      <x:c r="E9" s="8" t="n">
        <x:f>E7*'Assumptions'!$E$15+E8*('Assumptions'!$E$15+0.01)</x:f>
        <x:v>44.30592000000001</x:v>
      </x:c>
      <x:c r="F9" s="8" t="n">
        <x:f>F7*'Assumptions'!$E$15+F8*('Assumptions'!$E$15+0.01)</x:f>
        <x:v>40.91902447360001</x:v>
      </x:c>
      <x:c r="G9" s="8" t="n">
        <x:f>G7*'Assumptions'!$E$15+G8*('Assumptions'!$E$15+0.01)</x:f>
        <x:v>37.08710518656001</x:v>
      </x:c>
      <x:c r="H9" s="8" t="n">
        <x:f>H7*'Assumptions'!$E$15+H8*('Assumptions'!$E$15+0.01)</x:f>
        <x:v>32.773788312079375</x:v>
      </x:c>
      <x:c r="I9" s="8" t="n">
        <x:f>I7*'Assumptions'!$E$15+I8*('Assumptions'!$E$15+0.01)</x:f>
        <x:v>27.94013069770293</x:v>
      </x:c>
      <x:c r="J9" s="3"/>
      <x:c r="K9" s="3"/>
      <x:c r="L9" s="3"/>
      <x:c r="M9" s="3"/>
      <x:c r="N9" s="3"/>
      <x:c r="O9" s="3"/>
      <x:c r="P9" s="3"/>
    </x:row>
    <x:row r="10" ht="20" customHeight="1">
      <x:c r="A10" s="2"/>
      <x:c r="B10" s="2"/>
      <x:c r="C10" s="2" t="str">
        <x:v>Opening cash</x:v>
      </x:c>
      <x:c r="D10" s="3"/>
      <x:c r="E10" s="8" t="n">
        <x:f>'Assumptions'!$E$20</x:f>
        <x:v>20</x:v>
      </x:c>
      <x:c r="F10" s="3" t="n">
        <x:f>E21</x:f>
        <x:v>20</x:v>
      </x:c>
      <x:c r="G10" s="3" t="n">
        <x:f>F21</x:f>
        <x:v>20</x:v>
      </x:c>
      <x:c r="H10" s="3" t="n">
        <x:f>G21</x:f>
        <x:v>20</x:v>
      </x:c>
      <x:c r="I10" s="3" t="n">
        <x:f>H21</x:f>
        <x:v>20</x:v>
      </x:c>
      <x:c r="J10" s="3"/>
      <x:c r="K10" s="3"/>
      <x:c r="L10" s="3"/>
      <x:c r="M10" s="3"/>
      <x:c r="N10" s="3"/>
      <x:c r="O10" s="3"/>
      <x:c r="P10" s="3"/>
    </x:row>
    <x:row r="11" ht="20" customHeight="1">
      <x:c r="A11" s="2"/>
      <x:c r="B11" s="2"/>
      <x:c r="C11" s="2" t="str">
        <x:v>Levered FCF before principal payments</x:v>
      </x:c>
      <x:c r="D11" s="3"/>
      <x:c r="E11" s="8" t="n">
        <x:f>'Forecast'!E21</x:f>
        <x:v>42.33619408000001</x:v>
      </x:c>
      <x:c r="F11" s="8" t="n">
        <x:f>'Forecast'!F21</x:f>
        <x:v>47.89899108799999</x:v>
      </x:c>
      <x:c r="G11" s="8" t="n">
        <x:f>'Forecast'!G21</x:f>
        <x:v>53.916460931008004</x:v>
      </x:c>
      <x:c r="H11" s="8" t="n">
        <x:f>'Forecast'!H21</x:f>
        <x:v>60.42072017970557</x:v>
      </x:c>
      <x:c r="I11" s="8" t="n">
        <x:f>'Forecast'!I21</x:f>
        <x:v>67.44600584703852</x:v>
      </x:c>
      <x:c r="J11" s="3"/>
      <x:c r="K11" s="3"/>
      <x:c r="L11" s="3"/>
      <x:c r="M11" s="3"/>
      <x:c r="N11" s="3"/>
      <x:c r="O11" s="3"/>
      <x:c r="P11" s="3"/>
    </x:row>
    <x:row r="12" ht="20" customHeight="1">
      <x:c r="A12" s="2"/>
      <x:c r="B12" s="2"/>
      <x:c r="C12" s="2" t="str">
        <x:v>Mandatory term amortization</x:v>
      </x:c>
      <x:c r="D12" s="3"/>
      <x:c r="E12" s="8" t="n">
        <x:f>MIN(E7,'Valuation'!$E$9*'Assumptions'!$E$16)</x:f>
        <x:v>5.538240000000001</x:v>
      </x:c>
      <x:c r="F12" s="8" t="n">
        <x:f>MIN(F7,'Valuation'!$E$9*'Assumptions'!$E$16)</x:f>
        <x:v>5.538240000000001</x:v>
      </x:c>
      <x:c r="G12" s="8" t="n">
        <x:f>MIN(G7,'Valuation'!$E$9*'Assumptions'!$E$16)</x:f>
        <x:v>5.538240000000001</x:v>
      </x:c>
      <x:c r="H12" s="8" t="n">
        <x:f>MIN(H7,'Valuation'!$E$9*'Assumptions'!$E$16)</x:f>
        <x:v>5.538240000000001</x:v>
      </x:c>
      <x:c r="I12" s="8" t="n">
        <x:f>MIN(I7,'Valuation'!$E$9*'Assumptions'!$E$16)</x:f>
        <x:v>5.538240000000001</x:v>
      </x:c>
      <x:c r="J12" s="3"/>
      <x:c r="K12" s="3"/>
      <x:c r="L12" s="3"/>
      <x:c r="M12" s="3"/>
      <x:c r="N12" s="3"/>
      <x:c r="O12" s="3"/>
      <x:c r="P12" s="3"/>
    </x:row>
    <x:row r="13" ht="20" customHeight="1">
      <x:c r="A13" s="2"/>
      <x:c r="B13" s="2"/>
      <x:c r="C13" s="2" t="str">
        <x:v>Cash after minimum cash and amortization</x:v>
      </x:c>
      <x:c r="D13" s="3"/>
      <x:c r="E13" s="8" t="n">
        <x:f>E10+E11-'Assumptions'!$E$20-E12</x:f>
        <x:v>36.79795408000001</x:v>
      </x:c>
      <x:c r="F13" s="8" t="n">
        <x:f>F10+F11-'Assumptions'!$E$20-F12</x:f>
        <x:v>42.36075108799999</x:v>
      </x:c>
      <x:c r="G13" s="8" t="n">
        <x:f>G10+G11-'Assumptions'!$E$20-G12</x:f>
        <x:v>48.378220931008</x:v>
      </x:c>
      <x:c r="H13" s="8" t="n">
        <x:f>H10+H11-'Assumptions'!$E$20-H12</x:f>
        <x:v>54.88248017970557</x:v>
      </x:c>
      <x:c r="I13" s="8" t="n">
        <x:f>I10+I11-'Assumptions'!$E$20-I12</x:f>
        <x:v>61.90776584703852</x:v>
      </x:c>
      <x:c r="J13" s="3"/>
      <x:c r="K13" s="3"/>
      <x:c r="L13" s="3"/>
      <x:c r="M13" s="3"/>
      <x:c r="N13" s="3"/>
      <x:c r="O13" s="3"/>
      <x:c r="P13" s="3"/>
    </x:row>
    <x:row r="14" ht="20" customHeight="1">
      <x:c r="A14" s="2"/>
      <x:c r="B14" s="2"/>
      <x:c r="C14" s="2" t="str">
        <x:v>Revolver draw</x:v>
      </x:c>
      <x:c r="D14" s="3"/>
      <x:c r="E14" s="8" t="n">
        <x:f>MIN(MAX(0,-E13),MAX(0,'Assumptions'!$E$21-E8))</x:f>
        <x:v>0</x:v>
      </x:c>
      <x:c r="F14" s="8" t="n">
        <x:f>MIN(MAX(0,-F13),MAX(0,'Assumptions'!$E$21-F8))</x:f>
        <x:v>0</x:v>
      </x:c>
      <x:c r="G14" s="8" t="n">
        <x:f>MIN(MAX(0,-G13),MAX(0,'Assumptions'!$E$21-G8))</x:f>
        <x:v>0</x:v>
      </x:c>
      <x:c r="H14" s="8" t="n">
        <x:f>MIN(MAX(0,-H13),MAX(0,'Assumptions'!$E$21-H8))</x:f>
        <x:v>0</x:v>
      </x:c>
      <x:c r="I14" s="8" t="n">
        <x:f>MIN(MAX(0,-I13),MAX(0,'Assumptions'!$E$21-I8))</x:f>
        <x:v>0</x:v>
      </x:c>
      <x:c r="J14" s="3"/>
      <x:c r="K14" s="3"/>
      <x:c r="L14" s="3"/>
      <x:c r="M14" s="3"/>
      <x:c r="N14" s="3"/>
      <x:c r="O14" s="3"/>
      <x:c r="P14" s="3"/>
    </x:row>
    <x:row r="15" ht="20" customHeight="1">
      <x:c r="A15" s="2"/>
      <x:c r="B15" s="2"/>
      <x:c r="C15" s="2" t="str">
        <x:v>Unfunded liquidity requirement</x:v>
      </x:c>
      <x:c r="D15" s="3"/>
      <x:c r="E15" s="3" t="n">
        <x:f>MAX(0,-E13-E14)</x:f>
        <x:v>0</x:v>
      </x:c>
      <x:c r="F15" s="3" t="n">
        <x:f>MAX(0,-F13-F14)</x:f>
        <x:v>0</x:v>
      </x:c>
      <x:c r="G15" s="3" t="n">
        <x:f>MAX(0,-G13-G14)</x:f>
        <x:v>0</x:v>
      </x:c>
      <x:c r="H15" s="3" t="n">
        <x:f>MAX(0,-H13-H14)</x:f>
        <x:v>0</x:v>
      </x:c>
      <x:c r="I15" s="3" t="n">
        <x:f>MAX(0,-I13-I14)</x:f>
        <x:v>0</x:v>
      </x:c>
      <x:c r="J15" s="3"/>
      <x:c r="K15" s="3"/>
      <x:c r="L15" s="3"/>
      <x:c r="M15" s="3"/>
      <x:c r="N15" s="3"/>
      <x:c r="O15" s="3"/>
      <x:c r="P15" s="3"/>
    </x:row>
    <x:row r="16" ht="20" customHeight="1">
      <x:c r="A16" s="2"/>
      <x:c r="B16" s="2"/>
      <x:c r="C16" s="2" t="str">
        <x:v>Cash available for sweep</x:v>
      </x:c>
      <x:c r="D16" s="3"/>
      <x:c r="E16" s="3" t="n">
        <x:f>MAX(0,E13+E14)</x:f>
        <x:v>36.79795408000001</x:v>
      </x:c>
      <x:c r="F16" s="3" t="n">
        <x:f>MAX(0,F13+F14)</x:f>
        <x:v>42.36075108799999</x:v>
      </x:c>
      <x:c r="G16" s="3" t="n">
        <x:f>MAX(0,G13+G14)</x:f>
        <x:v>48.378220931008</x:v>
      </x:c>
      <x:c r="H16" s="3" t="n">
        <x:f>MAX(0,H13+H14)</x:f>
        <x:v>54.88248017970557</x:v>
      </x:c>
      <x:c r="I16" s="3" t="n">
        <x:f>MAX(0,I13+I14)</x:f>
        <x:v>61.90776584703852</x:v>
      </x:c>
      <x:c r="J16" s="3"/>
      <x:c r="K16" s="3"/>
      <x:c r="L16" s="3"/>
      <x:c r="M16" s="3"/>
      <x:c r="N16" s="3"/>
      <x:c r="O16" s="3"/>
      <x:c r="P16" s="3"/>
    </x:row>
    <x:row r="17" ht="20" customHeight="1">
      <x:c r="A17" s="2"/>
      <x:c r="B17" s="2"/>
      <x:c r="C17" s="2" t="str">
        <x:v>Revolver repayment</x:v>
      </x:c>
      <x:c r="D17" s="3"/>
      <x:c r="E17" s="3" t="n">
        <x:f>MIN(E8+E14,E16)</x:f>
        <x:v>0</x:v>
      </x:c>
      <x:c r="F17" s="3" t="n">
        <x:f>MIN(F8+F14,F16)</x:f>
        <x:v>0</x:v>
      </x:c>
      <x:c r="G17" s="3" t="n">
        <x:f>MIN(G8+G14,G16)</x:f>
        <x:v>0</x:v>
      </x:c>
      <x:c r="H17" s="3" t="n">
        <x:f>MIN(H8+H14,H16)</x:f>
        <x:v>0</x:v>
      </x:c>
      <x:c r="I17" s="3" t="n">
        <x:f>MIN(I8+I14,I16)</x:f>
        <x:v>0</x:v>
      </x:c>
      <x:c r="J17" s="3"/>
      <x:c r="K17" s="3"/>
      <x:c r="L17" s="3"/>
      <x:c r="M17" s="3"/>
      <x:c r="N17" s="3"/>
      <x:c r="O17" s="3"/>
      <x:c r="P17" s="3"/>
    </x:row>
    <x:row r="18" ht="20" customHeight="1">
      <x:c r="A18" s="2"/>
      <x:c r="B18" s="2"/>
      <x:c r="C18" s="2" t="str">
        <x:v>Term loan cash sweep</x:v>
      </x:c>
      <x:c r="D18" s="3"/>
      <x:c r="E18" s="3" t="n">
        <x:f>MIN(MAX(0,E7-E12),MAX(0,E16-E17))</x:f>
        <x:v>36.79795408000001</x:v>
      </x:c>
      <x:c r="F18" s="3" t="n">
        <x:f>MIN(MAX(0,F7-F12),MAX(0,F16-F17))</x:f>
        <x:v>42.36075108799999</x:v>
      </x:c>
      <x:c r="G18" s="3" t="n">
        <x:f>MIN(MAX(0,G7-G12),MAX(0,G16-G17))</x:f>
        <x:v>48.378220931008</x:v>
      </x:c>
      <x:c r="H18" s="3" t="n">
        <x:f>MIN(MAX(0,H7-H12),MAX(0,H16-H17))</x:f>
        <x:v>54.88248017970557</x:v>
      </x:c>
      <x:c r="I18" s="3" t="n">
        <x:f>MIN(MAX(0,I7-I12),MAX(0,I16-I17))</x:f>
        <x:v>61.90776584703852</x:v>
      </x:c>
      <x:c r="J18" s="3"/>
      <x:c r="K18" s="3"/>
      <x:c r="L18" s="3"/>
      <x:c r="M18" s="3"/>
      <x:c r="N18" s="3"/>
      <x:c r="O18" s="3"/>
      <x:c r="P18" s="3"/>
    </x:row>
    <x:row r="19" ht="20" customHeight="1">
      <x:c r="A19" s="2"/>
      <x:c r="B19" s="2"/>
      <x:c r="C19" s="28" t="str">
        <x:v>Closing term loan</x:v>
      </x:c>
      <x:c r="D19" s="29"/>
      <x:c r="E19" s="29" t="n">
        <x:f>E7-E12-E18</x:f>
        <x:v>511.4878059200001</x:v>
      </x:c>
      <x:c r="F19" s="29" t="n">
        <x:f>F7-F12-F18</x:f>
        <x:v>463.58881483200014</x:v>
      </x:c>
      <x:c r="G19" s="29" t="n">
        <x:f>G7-G12-G18</x:f>
        <x:v>409.67235390099216</x:v>
      </x:c>
      <x:c r="H19" s="29" t="n">
        <x:f>H7-H12-H18</x:f>
        <x:v>349.2516337212866</x:v>
      </x:c>
      <x:c r="I19" s="29" t="n">
        <x:f>I7-I12-I18</x:f>
        <x:v>281.8056278742481</x:v>
      </x:c>
      <x:c r="J19" s="3"/>
      <x:c r="K19" s="3"/>
      <x:c r="L19" s="3"/>
      <x:c r="M19" s="3"/>
      <x:c r="N19" s="3"/>
      <x:c r="O19" s="3"/>
      <x:c r="P19" s="3"/>
    </x:row>
    <x:row r="20" ht="20" customHeight="1">
      <x:c r="A20" s="2"/>
      <x:c r="B20" s="2"/>
      <x:c r="C20" s="28" t="str">
        <x:v>Closing revolver</x:v>
      </x:c>
      <x:c r="D20" s="29"/>
      <x:c r="E20" s="29" t="n">
        <x:f>E8+E14-E17</x:f>
        <x:v>0</x:v>
      </x:c>
      <x:c r="F20" s="29" t="n">
        <x:f>F8+F14-F17</x:f>
        <x:v>0</x:v>
      </x:c>
      <x:c r="G20" s="29" t="n">
        <x:f>G8+G14-G17</x:f>
        <x:v>0</x:v>
      </x:c>
      <x:c r="H20" s="29" t="n">
        <x:f>H8+H14-H17</x:f>
        <x:v>0</x:v>
      </x:c>
      <x:c r="I20" s="29" t="n">
        <x:f>I8+I14-I17</x:f>
        <x:v>0</x:v>
      </x:c>
      <x:c r="J20" s="3"/>
      <x:c r="K20" s="3"/>
      <x:c r="L20" s="3"/>
      <x:c r="M20" s="3"/>
      <x:c r="N20" s="3"/>
      <x:c r="O20" s="3"/>
      <x:c r="P20" s="3"/>
    </x:row>
    <x:row r="21" ht="20" customHeight="1">
      <x:c r="A21" s="2"/>
      <x:c r="B21" s="2"/>
      <x:c r="C21" s="28" t="str">
        <x:v>Closing cash</x:v>
      </x:c>
      <x:c r="D21" s="29"/>
      <x:c r="E21" s="29" t="n">
        <x:f>E10+E11+E14-E12-E17-E18</x:f>
        <x:v>20</x:v>
      </x:c>
      <x:c r="F21" s="29" t="n">
        <x:f>F10+F11+F14-F12-F17-F18</x:f>
        <x:v>20</x:v>
      </x:c>
      <x:c r="G21" s="29" t="n">
        <x:f>G10+G11+G14-G12-G17-G18</x:f>
        <x:v>20</x:v>
      </x:c>
      <x:c r="H21" s="29" t="n">
        <x:f>H10+H11+H14-H12-H17-H18</x:f>
        <x:v>20</x:v>
      </x:c>
      <x:c r="I21" s="29" t="n">
        <x:f>I10+I11+I14-I12-I17-I18</x:f>
        <x:v>20</x:v>
      </x:c>
      <x:c r="J21" s="3"/>
      <x:c r="K21" s="3"/>
      <x:c r="L21" s="3"/>
      <x:c r="M21" s="3"/>
      <x:c r="N21" s="3"/>
      <x:c r="O21" s="3"/>
      <x:c r="P21" s="3"/>
    </x:row>
    <x:row r="22" ht="20" customHeight="1">
      <x:c r="A22" s="2"/>
      <x:c r="B22" s="2"/>
      <x:c r="C22" s="37" t="str">
        <x:v>EBITDA / interest coverage</x:v>
      </x:c>
      <x:c r="D22" s="52"/>
      <x:c r="E22" s="53" t="n">
        <x:f>IF(E9=0,"n.a.",'Forecast'!E13/E9)</x:f>
        <x:v>2.8888888888888884</x:v>
      </x:c>
      <x:c r="F22" s="53" t="n">
        <x:f>IF(F9=0,"n.a.",'Forecast'!F13/F9)</x:f>
        <x:v>3.253124357494946</x:v>
      </x:c>
      <x:c r="G22" s="53" t="n">
        <x:f>IF(G9=0,"n.a.",'Forecast'!G13/G9)</x:f>
        <x:v>3.7328139123182087</x:v>
      </x:c>
      <x:c r="H22" s="53" t="n">
        <x:f>IF(H9=0,"n.a.",'Forecast'!H13/H9)</x:f>
        <x:v>4.393048228826654</x:v>
      </x:c>
      <x:c r="I22" s="53" t="n">
        <x:f>IF(I9=0,"n.a.",'Forecast'!I13/I9)</x:f>
        <x:v>5.359169848710951</x:v>
      </x:c>
      <x:c r="J22" s="3"/>
      <x:c r="K22" s="3"/>
      <x:c r="L22" s="3"/>
      <x:c r="M22" s="3"/>
      <x:c r="N22" s="3"/>
      <x:c r="O22" s="3"/>
      <x:c r="P22" s="3"/>
    </x:row>
    <x:row r="23" ht="20" customHeight="1">
      <x:c r="A23" s="2"/>
      <x:c r="B23" s="2"/>
      <x:c r="C23" s="37" t="str">
        <x:v>Year-end net leverage</x:v>
      </x:c>
      <x:c r="D23" s="52"/>
      <x:c r="E23" s="53" t="n">
        <x:f>IF('Forecast'!E13&lt;=0,"n.a.",(E19+E20-E21)/'Forecast'!E13)</x:f>
        <x:v>3.8399020798331938</x:v>
      </x:c>
      <x:c r="F23" s="53" t="n">
        <x:f>IF('Forecast'!F13&lt;=0,"n.a.",(F19+F20-F21)/'Forecast'!F13)</x:f>
        <x:v>3.3323810028122285</x:v>
      </x:c>
      <x:c r="G23" s="53" t="n">
        <x:f>IF('Forecast'!G13&lt;=0,"n.a.",(G19+G20-G21)/'Forecast'!G13)</x:f>
        <x:v>2.8147531826305423</x:v>
      </x:c>
      <x:c r="H23" s="53" t="n">
        <x:f>IF('Forecast'!H13&lt;=0,"n.a.",(H19+H20-H21)/'Forecast'!H13)</x:f>
        <x:v>2.2868375943215353</x:v>
      </x:c>
      <x:c r="I23" s="53" t="n">
        <x:f>IF('Forecast'!I13&lt;=0,"n.a.",(I19+I20-I21)/'Forecast'!I13)</x:f>
        <x:v>1.74844921876622</x:v>
      </x:c>
      <x:c r="J23" s="3"/>
      <x:c r="K23" s="3"/>
      <x:c r="L23" s="3"/>
      <x:c r="M23" s="3"/>
      <x:c r="N23" s="3"/>
      <x:c r="O23" s="3"/>
      <x:c r="P23" s="3"/>
    </x:row>
    <x:row r="24" ht="20" customHeight="1">
      <x:c r="A24" s="2"/>
      <x:c r="B24" s="2"/>
      <x:c r="C24" s="2" t="str">
        <x:v>Debt roll-forward difference</x:v>
      </x:c>
      <x:c r="D24" s="3"/>
      <x:c r="E24" s="54" t="n">
        <x:f>E19+E20-(E7+E8+E14-E12-E17-E18)</x:f>
        <x:v>0</x:v>
      </x:c>
      <x:c r="F24" s="54" t="n">
        <x:f>F19+F20-(F7+F8+F14-F12-F17-F18)</x:f>
        <x:v>0</x:v>
      </x:c>
      <x:c r="G24" s="54" t="n">
        <x:f>G19+G20-(G7+G8+G14-G12-G17-G18)</x:f>
        <x:v>0</x:v>
      </x:c>
      <x:c r="H24" s="54" t="n">
        <x:f>H19+H20-(H7+H8+H14-H12-H17-H18)</x:f>
        <x:v>0</x:v>
      </x:c>
      <x:c r="I24" s="54" t="n">
        <x:f>I19+I20-(I7+I8+I14-I12-I17-I18)</x:f>
        <x:v>0</x:v>
      </x:c>
      <x:c r="J24" s="3"/>
      <x:c r="K24" s="3"/>
      <x:c r="L24" s="3"/>
      <x:c r="M24" s="3"/>
      <x:c r="N24" s="3"/>
      <x:c r="O24" s="3"/>
      <x:c r="P24" s="3"/>
    </x:row>
    <x:row r="25" ht="20" customHeight="1">
      <x:c r="A25" s="2"/>
      <x:c r="B25" s="2"/>
      <x:c r="C25" s="2" t="str">
        <x:v>Cash roll-forward difference</x:v>
      </x:c>
      <x:c r="D25" s="3"/>
      <x:c r="E25" s="54" t="n">
        <x:f>E21-(E10+E11+E14-E12-E17-E18)</x:f>
        <x:v>0</x:v>
      </x:c>
      <x:c r="F25" s="54" t="n">
        <x:f>F21-(F10+F11+F14-F12-F17-F18)</x:f>
        <x:v>0</x:v>
      </x:c>
      <x:c r="G25" s="54" t="n">
        <x:f>G21-(G10+G11+G14-G12-G17-G18)</x:f>
        <x:v>0</x:v>
      </x:c>
      <x:c r="H25" s="54" t="n">
        <x:f>H21-(H10+H11+H14-H12-H17-H18)</x:f>
        <x:v>0</x:v>
      </x:c>
      <x:c r="I25" s="54" t="n">
        <x:f>I21-(I10+I11+I14-I12-I17-I18)</x:f>
        <x:v>0</x:v>
      </x:c>
      <x:c r="J25" s="3"/>
      <x:c r="K25" s="3"/>
      <x:c r="L25" s="3"/>
      <x:c r="M25" s="3"/>
      <x:c r="N25" s="3"/>
      <x:c r="O25" s="3"/>
      <x:c r="P25" s="3"/>
    </x:row>
    <x:row r="26" ht="20" customHeight="1">
      <x:c r="A26" s="2"/>
      <x:c r="B26" s="2"/>
      <x:c r="C26" s="2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 ht="20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 ht="20" customHeight="1">
      <x:c r="A28" s="2"/>
      <x:c r="B28" s="2"/>
      <x:c r="C28" s="21" t="str">
        <x:v>Interest uses opening balances; new draws occur at year end. No intra-year timing or commitment fee.</x:v>
      </x:c>
      <x:c r="D28" s="22"/>
      <x:c r="E28" s="22"/>
      <x:c r="F28" s="22"/>
      <x:c r="G28" s="22"/>
      <x:c r="H28" s="22"/>
      <x:c r="I28" s="22"/>
      <x:c r="J28" s="3"/>
      <x:c r="K28" s="3"/>
      <x:c r="L28" s="3"/>
      <x:c r="M28" s="3"/>
      <x:c r="N28" s="3"/>
      <x:c r="O28" s="3"/>
      <x:c r="P28" s="3"/>
    </x:row>
    <x:row r="29" ht="20" customHeight="1">
      <x:c r="A29" s="2"/>
      <x:c r="B29" s="2"/>
      <x:c r="C29" s="21" t="str">
        <x:v>A funding shortfall suppresses return outputs. No unmodeled equity rescue is assumed.</x:v>
      </x:c>
      <x:c r="D29" s="22"/>
      <x:c r="E29" s="22"/>
      <x:c r="F29" s="22"/>
      <x:c r="G29" s="22"/>
      <x:c r="H29" s="22"/>
      <x:c r="I29" s="22"/>
      <x:c r="J29" s="3"/>
      <x:c r="K29" s="3"/>
      <x:c r="L29" s="3"/>
      <x:c r="M29" s="3"/>
      <x:c r="N29" s="3"/>
      <x:c r="O29" s="3"/>
      <x:c r="P29" s="3"/>
    </x:row>
    <x:row r="30" ht="20" customHeight="1">
      <x:c r="A30" s="2"/>
      <x:c r="B30" s="2"/>
      <x:c r="C30" s="2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</x:row>
    <x:row r="31" ht="20" customHeight="1">
      <x:c r="A31" s="2"/>
      <x:c r="B31" s="2"/>
      <x:c r="C31" s="2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</x:row>
    <x:row r="32" ht="20" customHeight="1">
      <x:c r="A32" s="2"/>
      <x:c r="B32" s="2"/>
      <x:c r="C32" s="2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</x:row>
    <x:row r="33" ht="20" customHeight="1">
      <x:c r="A33" s="2"/>
      <x:c r="B33" s="2"/>
      <x:c r="C33" s="2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 ht="20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 ht="20" customHeight="1">
      <x:c r="A35" s="2"/>
      <x:c r="B35" s="2"/>
      <x:c r="C35" s="2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 ht="20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 ht="20" customHeight="1">
      <x:c r="A37" s="2"/>
      <x:c r="B37" s="2"/>
      <x:c r="C37" s="2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 ht="20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 ht="20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 ht="20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 ht="20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 ht="20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 ht="20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 ht="20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 ht="20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 ht="20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 ht="20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 ht="20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 ht="20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 ht="20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 ht="20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 ht="20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 ht="20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 ht="20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 ht="20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 ht="20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 ht="20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 ht="20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  <x:row r="59" ht="20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</x:row>
    <x:row r="60" ht="20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</x:row>
    <x:row r="61" ht="20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</x:row>
    <x:row r="62" ht="20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</x:row>
    <x:row r="63" ht="20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</x:row>
    <x:row r="64" ht="20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</x:row>
    <x:row r="65" ht="20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</x:row>
    <x:row r="66" ht="20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</x:row>
    <x:row r="67" ht="20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</x:row>
    <x:row r="68" ht="20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</x:row>
    <x:row r="69" ht="20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</x:row>
    <x:row r="70" ht="20" customHeight="1">
      <x:c r="A70" s="2"/>
      <x:c r="B70" s="2"/>
      <x:c r="C70" s="2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</x:row>
    <x:row r="71" ht="20" customHeight="1">
      <x:c r="A71" s="2"/>
      <x:c r="B71" s="2"/>
      <x:c r="C71" s="2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</x:row>
    <x:row r="72" ht="20" customHeight="1">
      <x:c r="A72" s="2"/>
      <x:c r="B72" s="2"/>
      <x:c r="C72" s="2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</x:row>
    <x:row r="73" ht="20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</x:row>
    <x:row r="74" ht="20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</x:row>
    <x:row r="75" ht="20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</x:row>
    <x:row r="76" ht="20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</x:row>
    <x:row r="77" ht="20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</x:row>
    <x:row r="78" ht="20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</x:row>
    <x:row r="79" ht="20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</x:row>
    <x:row r="80" ht="20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</x:row>
  </x:sheetData>
  <x:conditionalFormatting sqref="E15:I15">
    <x:cfRule type="cellIs" dxfId="0" priority="1" operator="greaterThan">
      <x:formula>0.000001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0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2"/>
      <x:c r="B2" s="2"/>
      <x:c r="C2" s="4" t="str">
        <x:v>Valuation</x:v>
      </x:c>
      <x:c r="D2" s="5"/>
      <x:c r="E2" s="5"/>
      <x:c r="F2" s="5"/>
      <x:c r="G2" s="5"/>
      <x:c r="H2" s="5"/>
      <x:c r="I2" s="5"/>
      <x:c r="J2" s="3"/>
      <x:c r="K2" s="3"/>
      <x:c r="L2" s="3"/>
      <x:c r="M2" s="3"/>
      <x:c r="N2" s="3"/>
      <x:c r="O2" s="3"/>
      <x:c r="P2" s="3"/>
    </x:row>
    <x:row r="3" ht="20" customHeight="1">
      <x:c r="A3" s="2"/>
      <x:c r="B3" s="2"/>
      <x:c r="C3" s="6"/>
      <x:c r="D3" s="7"/>
      <x:c r="E3" s="7"/>
      <x:c r="F3" s="7"/>
      <x:c r="G3" s="7"/>
      <x:c r="H3" s="7"/>
      <x:c r="I3" s="7"/>
      <x:c r="J3" s="3"/>
      <x:c r="K3" s="3"/>
      <x:c r="L3" s="3"/>
      <x:c r="M3" s="3"/>
      <x:c r="N3" s="3"/>
      <x:c r="O3" s="3"/>
      <x:c r="P3" s="3"/>
    </x:row>
    <x:row r="4" ht="20" customHeight="1">
      <x:c r="A4" s="2"/>
      <x:c r="B4" s="2"/>
      <x:c r="C4" s="2" t="str">
        <x:v>Case selected</x:v>
      </x:c>
      <x:c r="D4" s="3"/>
      <x:c r="E4" s="10" t="str">
        <x:f>'Assumptions'!E5</x:f>
        <x:v>Base</x:v>
      </x:c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20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 ht="20" customHeight="1">
      <x:c r="A6" s="2"/>
      <x:c r="B6" s="2"/>
      <x:c r="C6" s="2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7" ht="20" customHeight="1">
      <x:c r="A7" s="2"/>
      <x:c r="B7" s="2"/>
      <x:c r="C7" s="2" t="str">
        <x:v>Entry operating EBITDA proxy</x:v>
      </x:c>
      <x:c r="D7" s="3"/>
      <x:c r="E7" s="8" t="n">
        <x:f>'Inputs'!E9+'Inputs'!E11</x:f>
        <x:v>123.072</x:v>
      </x:c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</x:row>
    <x:row r="8" ht="20" customHeight="1">
      <x:c r="A8" s="2"/>
      <x:c r="B8" s="2"/>
      <x:c r="C8" s="2" t="str">
        <x:v>Entry enterprise value</x:v>
      </x:c>
      <x:c r="D8" s="3"/>
      <x:c r="E8" s="8" t="n">
        <x:f>E7*'Assumptions'!E9</x:f>
        <x:v>1230.72</x:v>
      </x:c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  <x:row r="9" ht="20" customHeight="1">
      <x:c r="A9" s="2"/>
      <x:c r="B9" s="2"/>
      <x:c r="C9" s="2" t="str">
        <x:v>Initial term debt</x:v>
      </x:c>
      <x:c r="D9" s="3"/>
      <x:c r="E9" s="8" t="n">
        <x:f>E7*'Assumptions'!E10</x:f>
        <x:v>553.8240000000001</x:v>
      </x:c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</x:row>
    <x:row r="10" ht="20" customHeight="1">
      <x:c r="A10" s="2"/>
      <x:c r="B10" s="2"/>
      <x:c r="C10" s="2" t="str">
        <x:v>Transaction fees</x:v>
      </x:c>
      <x:c r="D10" s="3"/>
      <x:c r="E10" s="8" t="n">
        <x:f>E8*'Assumptions'!E17</x:f>
        <x:v>24.6144</x:v>
      </x:c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</x:row>
    <x:row r="11" ht="20" customHeight="1">
      <x:c r="A11" s="2"/>
      <x:c r="B11" s="2"/>
      <x:c r="C11" s="2" t="str">
        <x:v>Financing fees</x:v>
      </x:c>
      <x:c r="D11" s="3"/>
      <x:c r="E11" s="8" t="n">
        <x:f>E9*'Assumptions'!E18</x:f>
        <x:v>11.076480000000002</x:v>
      </x:c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 ht="20" customHeight="1">
      <x:c r="A12" s="2"/>
      <x:c r="B12" s="2"/>
      <x:c r="C12" s="2" t="str">
        <x:v>Minimum cash at entry</x:v>
      </x:c>
      <x:c r="D12" s="3"/>
      <x:c r="E12" s="8" t="n">
        <x:f>'Assumptions'!E20</x:f>
        <x:v>20</x:v>
      </x:c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 ht="20" customHeight="1">
      <x:c r="A13" s="2"/>
      <x:c r="B13" s="2"/>
      <x:c r="C13" s="28" t="str">
        <x:v>Sponsor equity required</x:v>
      </x:c>
      <x:c r="D13" s="29"/>
      <x:c r="E13" s="29" t="n">
        <x:f>SUM(E8,E10:E12)-E9</x:f>
        <x:v>732.5868800000001</x:v>
      </x:c>
      <x:c r="F13" s="29"/>
      <x:c r="G13" s="29"/>
      <x:c r="H13" s="29"/>
      <x:c r="I13" s="29"/>
      <x:c r="J13" s="3"/>
      <x:c r="K13" s="3"/>
      <x:c r="L13" s="3"/>
      <x:c r="M13" s="3"/>
      <x:c r="N13" s="3"/>
      <x:c r="O13" s="3"/>
      <x:c r="P13" s="3"/>
    </x:row>
    <x:row r="14" ht="20" customHeight="1">
      <x:c r="A14" s="2"/>
      <x:c r="B14" s="2"/>
      <x:c r="C14" s="2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</x:row>
    <x:row r="15" ht="20" customHeight="1">
      <x:c r="A15" s="2"/>
      <x:c r="B15" s="2"/>
      <x:c r="C15" s="2" t="str">
        <x:v>Purchase of seller equity</x:v>
      </x:c>
      <x:c r="D15" s="3"/>
      <x:c r="E15" s="8" t="n">
        <x:f>E8-'Inputs'!E23+'Inputs'!E16</x:f>
        <x:v>955.053</x:v>
      </x:c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 ht="20" customHeight="1">
      <x:c r="A16" s="2"/>
      <x:c r="B16" s="2"/>
      <x:c r="C16" s="2" t="str">
        <x:v>Refinance assumed debt payoff</x:v>
      </x:c>
      <x:c r="D16" s="3"/>
      <x:c r="E16" s="8" t="n">
        <x:f>'Inputs'!E23</x:f>
        <x:v>310.75</x:v>
      </x:c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 ht="20" customHeight="1">
      <x:c r="A17" s="2"/>
      <x:c r="B17" s="2"/>
      <x:c r="C17" s="2" t="str">
        <x:v>Transaction and financing fees</x:v>
      </x:c>
      <x:c r="D17" s="3"/>
      <x:c r="E17" s="3" t="n">
        <x:f>SUM(E10:E11)</x:f>
        <x:v>35.69088</x:v>
      </x:c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 ht="20" customHeight="1">
      <x:c r="A18" s="2"/>
      <x:c r="B18" s="2"/>
      <x:c r="C18" s="2" t="str">
        <x:v>Fund minimum cash</x:v>
      </x:c>
      <x:c r="D18" s="3"/>
      <x:c r="E18" s="3" t="n">
        <x:f>E12</x:f>
        <x:v>20</x:v>
      </x:c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 ht="20" customHeight="1">
      <x:c r="A19" s="2"/>
      <x:c r="B19" s="2"/>
      <x:c r="C19" s="28" t="str">
        <x:v>Total uses</x:v>
      </x:c>
      <x:c r="D19" s="29"/>
      <x:c r="E19" s="29" t="n">
        <x:f>SUM(E15:E18)</x:f>
        <x:v>1321.49388</x:v>
      </x:c>
      <x:c r="F19" s="29"/>
      <x:c r="G19" s="29"/>
      <x:c r="H19" s="29"/>
      <x:c r="I19" s="29"/>
      <x:c r="J19" s="3"/>
      <x:c r="K19" s="3"/>
      <x:c r="L19" s="3"/>
      <x:c r="M19" s="3"/>
      <x:c r="N19" s="3"/>
      <x:c r="O19" s="3"/>
      <x:c r="P19" s="3"/>
    </x:row>
    <x:row r="20" ht="20" customHeight="1">
      <x:c r="A20" s="2"/>
      <x:c r="B20" s="2"/>
      <x:c r="C20" s="2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 ht="20" customHeight="1">
      <x:c r="A21" s="2"/>
      <x:c r="B21" s="2"/>
      <x:c r="C21" s="2" t="str">
        <x:v>Sponsor equity</x:v>
      </x:c>
      <x:c r="D21" s="3"/>
      <x:c r="E21" s="3" t="n">
        <x:f>E13</x:f>
        <x:v>732.5868800000001</x:v>
      </x:c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 ht="20" customHeight="1">
      <x:c r="A22" s="2"/>
      <x:c r="B22" s="2"/>
      <x:c r="C22" s="2" t="str">
        <x:v>New term debt</x:v>
      </x:c>
      <x:c r="D22" s="3"/>
      <x:c r="E22" s="3" t="n">
        <x:f>E9</x:f>
        <x:v>553.8240000000001</x:v>
      </x:c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 ht="20" customHeight="1">
      <x:c r="A23" s="2"/>
      <x:c r="B23" s="2"/>
      <x:c r="C23" s="2" t="str">
        <x:v>Target cash</x:v>
      </x:c>
      <x:c r="D23" s="3"/>
      <x:c r="E23" s="8" t="n">
        <x:f>'Inputs'!E16</x:f>
        <x:v>35.083</x:v>
      </x:c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 ht="20" customHeight="1">
      <x:c r="A24" s="2"/>
      <x:c r="B24" s="2"/>
      <x:c r="C24" s="28" t="str">
        <x:v>Total sources</x:v>
      </x:c>
      <x:c r="D24" s="29"/>
      <x:c r="E24" s="29" t="n">
        <x:f>SUM(E21:E23)</x:f>
        <x:v>1321.4938800000002</x:v>
      </x:c>
      <x:c r="F24" s="29"/>
      <x:c r="G24" s="29"/>
      <x:c r="H24" s="29"/>
      <x:c r="I24" s="29"/>
      <x:c r="J24" s="3"/>
      <x:c r="K24" s="3"/>
      <x:c r="L24" s="3"/>
      <x:c r="M24" s="3"/>
      <x:c r="N24" s="3"/>
      <x:c r="O24" s="3"/>
      <x:c r="P24" s="3"/>
    </x:row>
    <x:row r="25" ht="20" customHeight="1">
      <x:c r="A25" s="2"/>
      <x:c r="B25" s="2"/>
      <x:c r="C25" s="2" t="str">
        <x:v>Sources less uses</x:v>
      </x:c>
      <x:c r="D25" s="3"/>
      <x:c r="E25" s="54" t="n">
        <x:f>E24-E19</x:f>
        <x:v>2.2737367544323206e-13</x:v>
      </x:c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 ht="20" customHeight="1">
      <x:c r="A26" s="2"/>
      <x:c r="B26" s="2"/>
      <x:c r="C26" s="2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 ht="20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 ht="20" customHeight="1">
      <x:c r="A28" s="2"/>
      <x:c r="B28" s="2"/>
      <x:c r="C28" s="2" t="str">
        <x:v>Exit recurring EBITDA</x:v>
      </x:c>
      <x:c r="D28" s="3"/>
      <x:c r="E28" s="8" t="n">
        <x:f>'Forecast'!I11</x:f>
        <x:v>149.73590600417282</x:v>
      </x:c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 ht="20" customHeight="1">
      <x:c r="A29" s="2"/>
      <x:c r="B29" s="2"/>
      <x:c r="C29" s="2" t="str">
        <x:v>Exit enterprise value</x:v>
      </x:c>
      <x:c r="D29" s="3"/>
      <x:c r="E29" s="8" t="n">
        <x:f>E28*'Assumptions'!E11</x:f>
        <x:v>1347.6231540375554</x:v>
      </x:c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 ht="20" customHeight="1">
      <x:c r="A30" s="2"/>
      <x:c r="B30" s="2"/>
      <x:c r="C30" s="2" t="str">
        <x:v>Exit transaction costs</x:v>
      </x:c>
      <x:c r="D30" s="3"/>
      <x:c r="E30" s="8" t="n">
        <x:f>E29*'Assumptions'!E19</x:f>
        <x:v>13.476231540375554</x:v>
      </x:c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</x:row>
    <x:row r="31" ht="20" customHeight="1">
      <x:c r="A31" s="2"/>
      <x:c r="B31" s="2"/>
      <x:c r="C31" s="2" t="str">
        <x:v>Closing term loan and revolver</x:v>
      </x:c>
      <x:c r="D31" s="3"/>
      <x:c r="E31" s="8" t="n">
        <x:f>'Debt'!I19+'Debt'!I20</x:f>
        <x:v>281.8056278742481</x:v>
      </x:c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</x:row>
    <x:row r="32" ht="20" customHeight="1">
      <x:c r="A32" s="2"/>
      <x:c r="B32" s="2"/>
      <x:c r="C32" s="2" t="str">
        <x:v>Closing cash</x:v>
      </x:c>
      <x:c r="D32" s="3"/>
      <x:c r="E32" s="8" t="n">
        <x:f>'Debt'!I21</x:f>
        <x:v>20</x:v>
      </x:c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</x:row>
    <x:row r="33" ht="20" customHeight="1">
      <x:c r="A33" s="2"/>
      <x:c r="B33" s="2"/>
      <x:c r="C33" s="28" t="str">
        <x:v>Exit equity proceeds</x:v>
      </x:c>
      <x:c r="D33" s="29"/>
      <x:c r="E33" s="29" t="n">
        <x:f>MAX(0,E29-E30-E31+E32)</x:f>
        <x:v>1072.3412946229319</x:v>
      </x:c>
      <x:c r="F33" s="29"/>
      <x:c r="G33" s="29"/>
      <x:c r="H33" s="29"/>
      <x:c r="I33" s="29"/>
      <x:c r="J33" s="3"/>
      <x:c r="K33" s="3"/>
      <x:c r="L33" s="3"/>
      <x:c r="M33" s="3"/>
      <x:c r="N33" s="3"/>
      <x:c r="O33" s="3"/>
      <x:c r="P33" s="3"/>
    </x:row>
    <x:row r="34" ht="20" customHeight="1">
      <x:c r="A34" s="2"/>
      <x:c r="B34" s="2"/>
      <x:c r="C34" s="2" t="str">
        <x:v>Gross sponsor MOIC</x:v>
      </x:c>
      <x:c r="D34" s="3"/>
      <x:c r="E34" s="51" t="n">
        <x:f>IF(MAX('Debt'!E15:I15)&gt;0.00000001,"n.a.",IF(E13&lt;=0,"n.a.",E33/E13))</x:f>
        <x:v>1.4637735453615164</x:v>
      </x:c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 ht="20" customHeight="1">
      <x:c r="A35" s="2"/>
      <x:c r="B35" s="2"/>
      <x:c r="C35" s="28" t="str">
        <x:v>Gross sponsor IRR</x:v>
      </x:c>
      <x:c r="D35" s="29"/>
      <x:c r="E35" s="55" t="n">
        <x:f>IF(ISNUMBER(E34),E34^(1/5)-1,"n.a.")</x:f>
        <x:v>0.07918221317956498</x:v>
      </x:c>
      <x:c r="F35" s="29"/>
      <x:c r="G35" s="29"/>
      <x:c r="H35" s="29"/>
      <x:c r="I35" s="29"/>
      <x:c r="J35" s="3"/>
      <x:c r="K35" s="3"/>
      <x:c r="L35" s="3"/>
      <x:c r="M35" s="3"/>
      <x:c r="N35" s="3"/>
      <x:c r="O35" s="3"/>
      <x:c r="P35" s="3"/>
    </x:row>
    <x:row r="36" ht="20" customHeight="1">
      <x:c r="A36" s="2"/>
      <x:c r="B36" s="2"/>
      <x:c r="C36" s="28" t="str">
        <x:v>Maximum entry EV at target IRR</x:v>
      </x:c>
      <x:c r="D36" s="29"/>
      <x:c r="E36" s="49" t="n">
        <x:f>IF(ISNUMBER(E35),MAX(0,(E33/(1+'Assumptions'!E26)^5+E9-E12-E11)/(1+'Assumptions'!E17)),"n.a.")</x:f>
        <x:v>934.9974861333847</x:v>
      </x:c>
      <x:c r="F36" s="29"/>
      <x:c r="G36" s="29"/>
      <x:c r="H36" s="29"/>
      <x:c r="I36" s="29"/>
      <x:c r="J36" s="3"/>
      <x:c r="K36" s="3"/>
      <x:c r="L36" s="3"/>
      <x:c r="M36" s="3"/>
      <x:c r="N36" s="3"/>
      <x:c r="O36" s="3"/>
      <x:c r="P36" s="3"/>
    </x:row>
    <x:row r="37" ht="20" customHeight="1">
      <x:c r="A37" s="2"/>
      <x:c r="B37" s="2"/>
      <x:c r="C37" s="2" t="str">
        <x:v>Maximum entry multiple</x:v>
      </x:c>
      <x:c r="D37" s="3"/>
      <x:c r="E37" s="50" t="n">
        <x:f>IF(ISNUMBER(E36),E36/E7,"n.a.")</x:f>
        <x:v>7.597158461172197</x:v>
      </x:c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 ht="20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 ht="20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 ht="20" customHeight="1">
      <x:c r="A40" s="2"/>
      <x:c r="B40" s="2"/>
      <x:c r="C40" s="2" t="str">
        <x:v>Discount rate</x:v>
      </x:c>
      <x:c r="D40" s="3"/>
      <x:c r="E40" s="31" t="n">
        <x:f>'Assumptions'!E27</x:f>
        <x:v>0.1</x:v>
      </x:c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 ht="20" customHeight="1">
      <x:c r="A41" s="2"/>
      <x:c r="B41" s="2"/>
      <x:c r="C41" s="2" t="str">
        <x:v>Terminal growth</x:v>
      </x:c>
      <x:c r="D41" s="3"/>
      <x:c r="E41" s="31" t="n">
        <x:f>'Assumptions'!E28</x:f>
        <x:v>0.025</x:v>
      </x:c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 ht="20" customHeight="1">
      <x:c r="A42" s="2"/>
      <x:c r="B42" s="2"/>
      <x:c r="C42" s="2" t="str">
        <x:v>Terminal revenue</x:v>
      </x:c>
      <x:c r="D42" s="3"/>
      <x:c r="E42" s="8" t="n">
        <x:f>'Forecast'!I10*(1+E41)</x:f>
        <x:v>850.9863213512294</x:v>
      </x:c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 ht="20" customHeight="1">
      <x:c r="A43" s="2"/>
      <x:c r="B43" s="2"/>
      <x:c r="C43" s="2" t="str">
        <x:v>Terminal EBITDA</x:v>
      </x:c>
      <x:c r="D43" s="3"/>
      <x:c r="E43" s="3" t="n">
        <x:f>E28*(1+E41)</x:f>
        <x:v>153.47930365427712</x:v>
      </x:c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 ht="20" customHeight="1">
      <x:c r="A44" s="2"/>
      <x:c r="B44" s="2"/>
      <x:c r="C44" s="2" t="str">
        <x:v>Terminal depreciation</x:v>
      </x:c>
      <x:c r="D44" s="3"/>
      <x:c r="E44" s="8" t="n">
        <x:f>E42*'Assumptions'!E24</x:f>
        <x:v>34.555041154416635</x:v>
      </x:c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 ht="20" customHeight="1">
      <x:c r="A45" s="2"/>
      <x:c r="B45" s="2"/>
      <x:c r="C45" s="2" t="str">
        <x:v>Terminal NOPAT</x:v>
      </x:c>
      <x:c r="D45" s="3"/>
      <x:c r="E45" s="8" t="n">
        <x:f>E43-E44-MAX(0,E43-E44)*'Assumptions'!E22</x:f>
        <x:v>89.19319687489536</x:v>
      </x:c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 ht="20" customHeight="1">
      <x:c r="A46" s="2"/>
      <x:c r="B46" s="2"/>
      <x:c r="C46" s="2" t="str">
        <x:v>Terminal reinvestment (growth / ROIC)</x:v>
      </x:c>
      <x:c r="D46" s="3"/>
      <x:c r="E46" s="8" t="n">
        <x:f>IF('Assumptions'!E58&gt;0,MAX(0,E45)*E41/'Assumptions'!E58,NA())</x:f>
        <x:v>18.581916015603202</x:v>
      </x:c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 ht="20" customHeight="1">
      <x:c r="A47" s="2"/>
      <x:c r="B47" s="2"/>
      <x:c r="C47" s="2" t="str">
        <x:v>Terminal unlevered cash flow</x:v>
      </x:c>
      <x:c r="D47" s="3"/>
      <x:c r="E47" s="3" t="n">
        <x:f>E45-E46</x:f>
        <x:v>70.61128085929217</x:v>
      </x:c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 ht="20" customHeight="1">
      <x:c r="A48" s="2"/>
      <x:c r="B48" s="2"/>
      <x:c r="C48" s="2" t="str">
        <x:v>Terminal value</x:v>
      </x:c>
      <x:c r="D48" s="3"/>
      <x:c r="E48" s="3" t="n">
        <x:f>IF(E40&gt;E41,E47/(E40-E41),NA())</x:f>
        <x:v>941.483744790562</x:v>
      </x:c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 ht="20" customHeight="1">
      <x:c r="A49" s="2"/>
      <x:c r="B49" s="2"/>
      <x:c r="C49" s="2" t="str">
        <x:v>PV of explicit cash flows</x:v>
      </x:c>
      <x:c r="D49" s="3"/>
      <x:c r="E49" s="8" t="n">
        <x:f>SUM('Forecast'!E28:I28)</x:f>
        <x:v>307.99830816586507</x:v>
      </x:c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 ht="20" customHeight="1">
      <x:c r="A50" s="2"/>
      <x:c r="B50" s="2"/>
      <x:c r="C50" s="2" t="str">
        <x:v>PV of terminal value</x:v>
      </x:c>
      <x:c r="D50" s="3"/>
      <x:c r="E50" s="3" t="n">
        <x:f>E48/(1+E40)^5</x:f>
        <x:v>584.5873324540436</x:v>
      </x:c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 ht="20" customHeight="1">
      <x:c r="A51" s="2"/>
      <x:c r="B51" s="2"/>
      <x:c r="C51" s="28" t="str">
        <x:v>DCF enterprise value</x:v>
      </x:c>
      <x:c r="D51" s="29"/>
      <x:c r="E51" s="29" t="n">
        <x:f>SUM(E49:E50)</x:f>
        <x:v>892.5856406199086</x:v>
      </x:c>
      <x:c r="F51" s="29"/>
      <x:c r="G51" s="29"/>
      <x:c r="H51" s="29"/>
      <x:c r="I51" s="29"/>
      <x:c r="J51" s="3"/>
      <x:c r="K51" s="3"/>
      <x:c r="L51" s="3"/>
      <x:c r="M51" s="3"/>
      <x:c r="N51" s="3"/>
      <x:c r="O51" s="3"/>
      <x:c r="P51" s="3"/>
    </x:row>
    <x:row r="52" ht="20" customHeight="1">
      <x:c r="A52" s="2"/>
      <x:c r="B52" s="2"/>
      <x:c r="C52" s="28" t="str">
        <x:v>Illustrative DCF equity value</x:v>
      </x:c>
      <x:c r="D52" s="29"/>
      <x:c r="E52" s="49" t="n">
        <x:f>E51-'Inputs'!E23+'Inputs'!E16</x:f>
        <x:v>616.9186406199086</x:v>
      </x:c>
      <x:c r="F52" s="29"/>
      <x:c r="G52" s="29"/>
      <x:c r="H52" s="29"/>
      <x:c r="I52" s="29"/>
      <x:c r="J52" s="3"/>
      <x:c r="K52" s="3"/>
      <x:c r="L52" s="3"/>
      <x:c r="M52" s="3"/>
      <x:c r="N52" s="3"/>
      <x:c r="O52" s="3"/>
      <x:c r="P52" s="3"/>
    </x:row>
    <x:row r="53" ht="20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 ht="20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 ht="20" customHeight="1">
      <x:c r="A55" s="2"/>
      <x:c r="B55" s="2"/>
      <x:c r="C55" s="21" t="str">
        <x:v>USD millions. No distributions before exit; annual IRR = MOIC^(1/5) - 1.</x:v>
      </x:c>
      <x:c r="D55" s="22"/>
      <x:c r="E55" s="22"/>
      <x:c r="F55" s="22"/>
      <x:c r="G55" s="22"/>
      <x:c r="H55" s="22"/>
      <x:c r="I55" s="22"/>
      <x:c r="J55" s="3"/>
      <x:c r="K55" s="3"/>
      <x:c r="L55" s="3"/>
      <x:c r="M55" s="3"/>
      <x:c r="N55" s="3"/>
      <x:c r="O55" s="3"/>
      <x:c r="P55" s="3"/>
    </x:row>
    <x:row r="56" ht="20" customHeight="1">
      <x:c r="A56" s="2"/>
      <x:c r="B56" s="2"/>
      <x:c r="C56" s="21" t="str">
        <x:v>DCF discount rate is assumed. Reinvestment = positive terminal NOPAT x growth / terminal ROIC.</x:v>
      </x:c>
      <x:c r="D56" s="22"/>
      <x:c r="E56" s="22"/>
      <x:c r="F56" s="22"/>
      <x:c r="G56" s="22"/>
      <x:c r="H56" s="22"/>
      <x:c r="I56" s="22"/>
      <x:c r="J56" s="3"/>
      <x:c r="K56" s="3"/>
      <x:c r="L56" s="3"/>
      <x:c r="M56" s="3"/>
      <x:c r="N56" s="3"/>
      <x:c r="O56" s="3"/>
      <x:c r="P56" s="3"/>
    </x:row>
    <x:row r="57" ht="20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 ht="20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  <x:row r="59" ht="20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</x:row>
    <x:row r="60" ht="20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</x:row>
    <x:row r="61" ht="20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</x:row>
    <x:row r="62" ht="20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</x:row>
    <x:row r="63" ht="20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</x:row>
    <x:row r="64" ht="20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</x:row>
    <x:row r="65" ht="20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</x:row>
    <x:row r="66" ht="20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</x:row>
    <x:row r="67" ht="20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</x:row>
    <x:row r="68" ht="20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</x:row>
    <x:row r="69" ht="20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</x:row>
    <x:row r="70" ht="20" customHeight="1">
      <x:c r="A70" s="2"/>
      <x:c r="B70" s="2"/>
      <x:c r="C70" s="2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</x:row>
    <x:row r="71" ht="20" customHeight="1">
      <x:c r="A71" s="2"/>
      <x:c r="B71" s="2"/>
      <x:c r="C71" s="2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</x:row>
    <x:row r="72" ht="20" customHeight="1">
      <x:c r="A72" s="2"/>
      <x:c r="B72" s="2"/>
      <x:c r="C72" s="2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</x:row>
    <x:row r="73" ht="20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</x:row>
    <x:row r="74" ht="20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</x:row>
    <x:row r="75" ht="20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</x:row>
    <x:row r="76" ht="20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</x:row>
    <x:row r="77" ht="20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</x:row>
    <x:row r="78" ht="20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</x:row>
    <x:row r="79" ht="20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</x:row>
    <x:row r="80" ht="20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0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2"/>
      <x:c r="B2" s="2"/>
      <x:c r="C2" s="4" t="str">
        <x:v>Operations</x:v>
      </x:c>
      <x:c r="D2" s="5"/>
      <x:c r="E2" s="5"/>
      <x:c r="F2" s="5"/>
      <x:c r="G2" s="5"/>
      <x:c r="H2" s="5"/>
      <x:c r="I2" s="5"/>
      <x:c r="J2" s="3"/>
      <x:c r="K2" s="3"/>
      <x:c r="L2" s="3"/>
      <x:c r="M2" s="3"/>
      <x:c r="N2" s="3"/>
      <x:c r="O2" s="3"/>
      <x:c r="P2" s="3"/>
    </x:row>
    <x:row r="3" ht="20" customHeight="1">
      <x:c r="A3" s="2"/>
      <x:c r="B3" s="2"/>
      <x:c r="C3" s="6"/>
      <x:c r="D3" s="7"/>
      <x:c r="E3" s="7"/>
      <x:c r="F3" s="7"/>
      <x:c r="G3" s="7"/>
      <x:c r="H3" s="7"/>
      <x:c r="I3" s="7"/>
      <x:c r="J3" s="3"/>
      <x:c r="K3" s="3"/>
      <x:c r="L3" s="3"/>
      <x:c r="M3" s="3"/>
      <x:c r="N3" s="3"/>
      <x:c r="O3" s="3"/>
      <x:c r="P3" s="3"/>
    </x:row>
    <x:row r="4" ht="20" customHeight="1">
      <x:c r="A4" s="2"/>
      <x:c r="B4" s="2"/>
      <x:c r="C4" s="2" t="str">
        <x:v>Case selected</x:v>
      </x:c>
      <x:c r="D4" s="3"/>
      <x:c r="E4" s="10" t="str">
        <x:f>'Assumptions'!E5</x:f>
        <x:v>Base</x:v>
      </x:c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20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 ht="20" customHeight="1">
      <x:c r="A6" s="2"/>
      <x:c r="B6" s="2"/>
      <x:c r="C6" s="15"/>
      <x:c r="D6" s="18"/>
      <x:c r="E6" s="19" t="n">
        <x:v>2026</x:v>
      </x:c>
      <x:c r="F6" s="19" t="n">
        <x:v>2027</x:v>
      </x:c>
      <x:c r="G6" s="19" t="n">
        <x:v>2028</x:v>
      </x:c>
      <x:c r="H6" s="19" t="n">
        <x:v>2029</x:v>
      </x:c>
      <x:c r="I6" s="19" t="n">
        <x:v>2030</x:v>
      </x:c>
      <x:c r="J6" s="3"/>
      <x:c r="K6" s="3"/>
      <x:c r="L6" s="3"/>
      <x:c r="M6" s="3"/>
      <x:c r="N6" s="3"/>
      <x:c r="O6" s="3"/>
      <x:c r="P6" s="3"/>
    </x:row>
    <x:row r="7" ht="20" customHeight="1">
      <x:c r="A7" s="2"/>
      <x:c r="B7" s="2"/>
      <x:c r="C7" s="2" t="str">
        <x:v>Revenue before initiatives</x:v>
      </x:c>
      <x:c r="D7" s="3"/>
      <x:c r="E7" s="8" t="n">
        <x:f>'Forecast'!E7</x:f>
        <x:v>709.68456</x:v>
      </x:c>
      <x:c r="F7" s="8" t="n">
        <x:f>'Forecast'!F7</x:f>
        <x:v>738.0719424</x:v>
      </x:c>
      <x:c r="G7" s="8" t="n">
        <x:f>'Forecast'!G7</x:f>
        <x:v>767.594820096</x:v>
      </x:c>
      <x:c r="H7" s="8" t="n">
        <x:f>'Forecast'!H7</x:f>
        <x:v>798.29861289984</x:v>
      </x:c>
      <x:c r="I7" s="8" t="n">
        <x:f>'Forecast'!I7</x:f>
        <x:v>830.2305574158337</x:v>
      </x:c>
      <x:c r="J7" s="3"/>
      <x:c r="K7" s="3"/>
      <x:c r="L7" s="3"/>
      <x:c r="M7" s="3"/>
      <x:c r="N7" s="3"/>
      <x:c r="O7" s="3"/>
      <x:c r="P7" s="3"/>
    </x:row>
    <x:row r="8" ht="20" customHeight="1">
      <x:c r="A8" s="2"/>
      <x:c r="B8" s="2"/>
      <x:c r="C8" s="37" t="str">
        <x:v>Realization rate</x:v>
      </x:c>
      <x:c r="D8" s="38"/>
      <x:c r="E8" s="46" t="n">
        <x:f>'Assumptions'!E52</x:f>
        <x:v>0.35</x:v>
      </x:c>
      <x:c r="F8" s="46" t="n">
        <x:f>'Assumptions'!F52</x:f>
        <x:v>0.75</x:v>
      </x:c>
      <x:c r="G8" s="46" t="n">
        <x:f>'Assumptions'!G52</x:f>
        <x:v>1</x:v>
      </x:c>
      <x:c r="H8" s="46" t="n">
        <x:f>'Assumptions'!H52</x:f>
        <x:v>1</x:v>
      </x:c>
      <x:c r="I8" s="46" t="n">
        <x:f>'Assumptions'!I52</x:f>
        <x:v>1</x:v>
      </x:c>
      <x:c r="J8" s="3"/>
      <x:c r="K8" s="3"/>
      <x:c r="L8" s="3"/>
      <x:c r="M8" s="3"/>
      <x:c r="N8" s="3"/>
      <x:c r="O8" s="3"/>
      <x:c r="P8" s="3"/>
    </x:row>
    <x:row r="9" ht="20" customHeight="1">
      <x:c r="A9" s="2"/>
      <x:c r="B9" s="2"/>
      <x:c r="C9" s="37" t="str">
        <x:v>Effective price increase</x:v>
      </x:c>
      <x:c r="D9" s="38"/>
      <x:c r="E9" s="46" t="n">
        <x:f>'Assumptions'!$E$29*'Assumptions'!$E$32*E8</x:f>
        <x:v>0.0034999999999999996</x:v>
      </x:c>
      <x:c r="F9" s="46" t="n">
        <x:f>'Assumptions'!$E$29*'Assumptions'!$E$32*F8</x:f>
        <x:v>0.0075</x:v>
      </x:c>
      <x:c r="G9" s="46" t="n">
        <x:f>'Assumptions'!$E$29*'Assumptions'!$E$32*G8</x:f>
        <x:v>0.01</x:v>
      </x:c>
      <x:c r="H9" s="46" t="n">
        <x:f>'Assumptions'!$E$29*'Assumptions'!$E$32*H8</x:f>
        <x:v>0.01</x:v>
      </x:c>
      <x:c r="I9" s="46" t="n">
        <x:f>'Assumptions'!$E$29*'Assumptions'!$E$32*I8</x:f>
        <x:v>0.01</x:v>
      </x:c>
      <x:c r="J9" s="3"/>
      <x:c r="K9" s="3"/>
      <x:c r="L9" s="3"/>
      <x:c r="M9" s="3"/>
      <x:c r="N9" s="3"/>
      <x:c r="O9" s="3"/>
      <x:c r="P9" s="3"/>
    </x:row>
    <x:row r="10" ht="20" customHeight="1">
      <x:c r="A10" s="2"/>
      <x:c r="B10" s="2"/>
      <x:c r="C10" s="37" t="str">
        <x:v>Effective volume loss</x:v>
      </x:c>
      <x:c r="D10" s="38"/>
      <x:c r="E10" s="46" t="n">
        <x:f>'Assumptions'!$E$29*'Assumptions'!$E$33*E8</x:f>
        <x:v>0.0008749999999999999</x:v>
      </x:c>
      <x:c r="F10" s="46" t="n">
        <x:f>'Assumptions'!$E$29*'Assumptions'!$E$33*F8</x:f>
        <x:v>0.001875</x:v>
      </x:c>
      <x:c r="G10" s="46" t="n">
        <x:f>'Assumptions'!$E$29*'Assumptions'!$E$33*G8</x:f>
        <x:v>0.0025</x:v>
      </x:c>
      <x:c r="H10" s="46" t="n">
        <x:f>'Assumptions'!$E$29*'Assumptions'!$E$33*H8</x:f>
        <x:v>0.0025</x:v>
      </x:c>
      <x:c r="I10" s="46" t="n">
        <x:f>'Assumptions'!$E$29*'Assumptions'!$E$33*I8</x:f>
        <x:v>0.0025</x:v>
      </x:c>
      <x:c r="J10" s="3"/>
      <x:c r="K10" s="3"/>
      <x:c r="L10" s="3"/>
      <x:c r="M10" s="3"/>
      <x:c r="N10" s="3"/>
      <x:c r="O10" s="3"/>
      <x:c r="P10" s="3"/>
    </x:row>
    <x:row r="11" ht="20" customHeight="1">
      <x:c r="A11" s="2"/>
      <x:c r="B11" s="2"/>
      <x:c r="C11" s="2" t="str">
        <x:v>Incremental pricing revenue</x:v>
      </x:c>
      <x:c r="D11" s="3"/>
      <x:c r="E11" s="3" t="n">
        <x:f>E7*((1-E10)*(1+E9)-1)</x:f>
        <x:v>1.8607485610350427</x:v>
      </x:c>
      <x:c r="F11" s="3" t="n">
        <x:f>F7*((1-F10)*(1+F9)-1)</x:f>
        <x:v>4.141275539310141</x:v>
      </x:c>
      <x:c r="G11" s="3" t="n">
        <x:f>G7*((1-G10)*(1+G9)-1)</x:f>
        <x:v>5.737771280217693</x:v>
      </x:c>
      <x:c r="H11" s="3" t="n">
        <x:f>H7*((1-H10)*(1+H9)-1)</x:f>
        <x:v>5.9672821314264</x:v>
      </x:c>
      <x:c r="I11" s="3" t="n">
        <x:f>I7*((1-I10)*(1+I9)-1)</x:f>
        <x:v>6.205973416683457</x:v>
      </x:c>
      <x:c r="J11" s="3"/>
      <x:c r="K11" s="3"/>
      <x:c r="L11" s="3"/>
      <x:c r="M11" s="3"/>
      <x:c r="N11" s="3"/>
      <x:c r="O11" s="3"/>
      <x:c r="P11" s="3"/>
    </x:row>
    <x:row r="12" ht="20" customHeight="1">
      <x:c r="A12" s="2"/>
      <x:c r="B12" s="2"/>
      <x:c r="C12" s="2" t="str">
        <x:v>Pricing EBITDA contribution</x:v>
      </x:c>
      <x:c r="D12" s="3"/>
      <x:c r="E12" s="8" t="n">
        <x:f>E7*(1-E10)*E9-E7*E10*'Assumptions'!$E$34</x:f>
        <x:v>2.264381654535</x:v>
      </x:c>
      <x:c r="F12" s="8" t="n">
        <x:f>F7*(1-F10)*F9-F7*F10*'Assumptions'!$E$34</x:f>
        <x:v>5.04080071911</x:v>
      </x:c>
      <x:c r="G12" s="8" t="n">
        <x:f>G7*(1-G10)*G9-G7*G10*'Assumptions'!$E$34</x:f>
        <x:v>6.985112862873601</x:v>
      </x:c>
      <x:c r="H12" s="8" t="n">
        <x:f>H7*(1-H10)*H9-H7*H10*'Assumptions'!$E$34</x:f>
        <x:v>7.264517377388545</x:v>
      </x:c>
      <x:c r="I12" s="8" t="n">
        <x:f>I7*(1-I10)*I9-I7*I10*'Assumptions'!$E$34</x:f>
        <x:v>7.555098072484086</x:v>
      </x:c>
      <x:c r="J12" s="3"/>
      <x:c r="K12" s="3"/>
      <x:c r="L12" s="3"/>
      <x:c r="M12" s="3"/>
      <x:c r="N12" s="3"/>
      <x:c r="O12" s="3"/>
      <x:c r="P12" s="3"/>
    </x:row>
    <x:row r="13" ht="20" customHeight="1">
      <x:c r="A13" s="2"/>
      <x:c r="B13" s="2"/>
      <x:c r="C13" s="2" t="str">
        <x:v>Process yield EBITDA contribution</x:v>
      </x:c>
      <x:c r="D13" s="3"/>
      <x:c r="E13" s="8" t="n">
        <x:f>'Assumptions'!$E$30*E7*('Inputs'!$E$8/'Inputs'!$E$7)*'Assumptions'!$E$35*E8</x:f>
        <x:v>1.0335605280000002</x:v>
      </x:c>
      <x:c r="F13" s="8" t="n">
        <x:f>'Assumptions'!$E$30*F7*('Inputs'!$E$8/'Inputs'!$E$7)*'Assumptions'!$E$35*F8</x:f>
        <x:v>2.3033634624</x:v>
      </x:c>
      <x:c r="G13" s="8" t="n">
        <x:f>'Assumptions'!$E$30*G7*('Inputs'!$E$8/'Inputs'!$E$7)*'Assumptions'!$E$35*G8</x:f>
        <x:v>3.193997334528</x:v>
      </x:c>
      <x:c r="H13" s="8" t="n">
        <x:f>'Assumptions'!$E$30*H7*('Inputs'!$E$8/'Inputs'!$E$7)*'Assumptions'!$E$35*H8</x:f>
        <x:v>3.3217572279091208</x:v>
      </x:c>
      <x:c r="I13" s="8" t="n">
        <x:f>'Assumptions'!$E$30*I7*('Inputs'!$E$8/'Inputs'!$E$7)*'Assumptions'!$E$35*I8</x:f>
        <x:v>3.454627517025485</x:v>
      </x:c>
      <x:c r="J13" s="3"/>
      <x:c r="K13" s="3"/>
      <x:c r="L13" s="3"/>
      <x:c r="M13" s="3"/>
      <x:c r="N13" s="3"/>
      <x:c r="O13" s="3"/>
      <x:c r="P13" s="3"/>
    </x:row>
    <x:row r="14" ht="20" customHeight="1">
      <x:c r="A14" s="2"/>
      <x:c r="B14" s="2"/>
      <x:c r="C14" s="28" t="str">
        <x:v>Total recurring EBITDA uplift</x:v>
      </x:c>
      <x:c r="D14" s="29"/>
      <x:c r="E14" s="29" t="n">
        <x:f>SUM(E12:E13)</x:f>
        <x:v>3.2979421825350004</x:v>
      </x:c>
      <x:c r="F14" s="29" t="n">
        <x:f>SUM(F12:F13)</x:f>
        <x:v>7.34416418151</x:v>
      </x:c>
      <x:c r="G14" s="29" t="n">
        <x:f>SUM(G12:G13)</x:f>
        <x:v>10.1791101974016</x:v>
      </x:c>
      <x:c r="H14" s="29" t="n">
        <x:f>SUM(H12:H13)</x:f>
        <x:v>10.586274605297666</x:v>
      </x:c>
      <x:c r="I14" s="29" t="n">
        <x:f>SUM(I12:I13)</x:f>
        <x:v>11.009725589509571</x:v>
      </x:c>
      <x:c r="J14" s="3"/>
      <x:c r="K14" s="3"/>
      <x:c r="L14" s="3"/>
      <x:c r="M14" s="3"/>
      <x:c r="N14" s="3"/>
      <x:c r="O14" s="3"/>
      <x:c r="P14" s="3"/>
    </x:row>
    <x:row r="15" ht="20" customHeight="1">
      <x:c r="A15" s="2"/>
      <x:c r="B15" s="2"/>
      <x:c r="C15" s="2" t="str">
        <x:v>Implementation expense</x:v>
      </x:c>
      <x:c r="D15" s="3"/>
      <x:c r="E15" s="8" t="n">
        <x:f>'Assumptions'!E53*('Assumptions'!$E$29*0.25+'Assumptions'!$E$30*0.5+'Assumptions'!$E$31*0.25)</x:f>
        <x:v>2</x:v>
      </x:c>
      <x:c r="F15" s="8" t="n">
        <x:f>'Assumptions'!F53*('Assumptions'!$E$29*0.25+'Assumptions'!$E$30*0.5+'Assumptions'!$E$31*0.25)</x:f>
        <x:v>1</x:v>
      </x:c>
      <x:c r="G15" s="8" t="n">
        <x:f>'Assumptions'!G53*('Assumptions'!$E$29*0.25+'Assumptions'!$E$30*0.5+'Assumptions'!$E$31*0.25)</x:f>
        <x:v>0</x:v>
      </x:c>
      <x:c r="H15" s="8" t="n">
        <x:f>'Assumptions'!H53*('Assumptions'!$E$29*0.25+'Assumptions'!$E$30*0.5+'Assumptions'!$E$31*0.25)</x:f>
        <x:v>0</x:v>
      </x:c>
      <x:c r="I15" s="8" t="n">
        <x:f>'Assumptions'!I53*('Assumptions'!$E$29*0.25+'Assumptions'!$E$30*0.5+'Assumptions'!$E$31*0.25)</x:f>
        <x:v>0</x:v>
      </x:c>
      <x:c r="J15" s="3"/>
      <x:c r="K15" s="3"/>
      <x:c r="L15" s="3"/>
      <x:c r="M15" s="3"/>
      <x:c r="N15" s="3"/>
      <x:c r="O15" s="3"/>
      <x:c r="P15" s="3"/>
    </x:row>
    <x:row r="16" ht="20" customHeight="1">
      <x:c r="A16" s="2"/>
      <x:c r="B16" s="2"/>
      <x:c r="C16" s="2" t="str">
        <x:v>Incremental capex</x:v>
      </x:c>
      <x:c r="D16" s="3"/>
      <x:c r="E16" s="8" t="n">
        <x:f>'Assumptions'!E54*'Assumptions'!$E$30</x:f>
        <x:v>3</x:v>
      </x:c>
      <x:c r="F16" s="8" t="n">
        <x:f>'Assumptions'!F54*'Assumptions'!$E$30</x:f>
        <x:v>0</x:v>
      </x:c>
      <x:c r="G16" s="8" t="n">
        <x:f>'Assumptions'!G54*'Assumptions'!$E$30</x:f>
        <x:v>0</x:v>
      </x:c>
      <x:c r="H16" s="8" t="n">
        <x:f>'Assumptions'!H54*'Assumptions'!$E$30</x:f>
        <x:v>0</x:v>
      </x:c>
      <x:c r="I16" s="8" t="n">
        <x:f>'Assumptions'!I54*'Assumptions'!$E$30</x:f>
        <x:v>0</x:v>
      </x:c>
      <x:c r="J16" s="3"/>
      <x:c r="K16" s="3"/>
      <x:c r="L16" s="3"/>
      <x:c r="M16" s="3"/>
      <x:c r="N16" s="3"/>
      <x:c r="O16" s="3"/>
      <x:c r="P16" s="3"/>
    </x:row>
    <x:row r="17" ht="20" customHeight="1">
      <x:c r="A17" s="2"/>
      <x:c r="B17" s="2"/>
      <x:c r="C17" s="2" t="str">
        <x:v>Reduction in closing inventory</x:v>
      </x:c>
      <x:c r="D17" s="3"/>
      <x:c r="E17" s="8" t="n">
        <x:f>'Assumptions'!$E$31*E7*('Inputs'!$E$8/'Inputs'!$E$7)/365*'Assumptions'!$E$36*E8</x:f>
        <x:v>3.77556357260274</x:v>
      </x:c>
      <x:c r="F17" s="8" t="n">
        <x:f>'Assumptions'!$E$31*F7*('Inputs'!$E$8/'Inputs'!$E$7)/365*'Assumptions'!$E$36*F8</x:f>
        <x:v>8.414113104657535</x:v>
      </x:c>
      <x:c r="G17" s="8" t="n">
        <x:f>'Assumptions'!$E$31*G7*('Inputs'!$E$8/'Inputs'!$E$7)/365*'Assumptions'!$E$36*G8</x:f>
        <x:v>11.66757017179178</x:v>
      </x:c>
      <x:c r="H17" s="8" t="n">
        <x:f>'Assumptions'!$E$31*H7*('Inputs'!$E$8/'Inputs'!$E$7)/365*'Assumptions'!$E$36*H8</x:f>
        <x:v>12.134272978663454</x:v>
      </x:c>
      <x:c r="I17" s="8" t="n">
        <x:f>'Assumptions'!$E$31*I7*('Inputs'!$E$8/'Inputs'!$E$7)/365*'Assumptions'!$E$36*I8</x:f>
        <x:v>12.619643897809992</x:v>
      </x:c>
      <x:c r="J17" s="3"/>
      <x:c r="K17" s="3"/>
      <x:c r="L17" s="3"/>
      <x:c r="M17" s="3"/>
      <x:c r="N17" s="3"/>
      <x:c r="O17" s="3"/>
      <x:c r="P17" s="3"/>
    </x:row>
    <x:row r="18" ht="20" customHeight="1">
      <x:c r="A18" s="2"/>
      <x:c r="B18" s="2"/>
      <x:c r="C18" s="2" t="str">
        <x:v>Cumulative initiative capital expenditure</x:v>
      </x:c>
      <x:c r="D18" s="3"/>
      <x:c r="E18" s="3" t="n">
        <x:f>SUM($E16:E16)</x:f>
        <x:v>3</x:v>
      </x:c>
      <x:c r="F18" s="3" t="n">
        <x:f>SUM($E16:F16)</x:f>
        <x:v>3</x:v>
      </x:c>
      <x:c r="G18" s="3" t="n">
        <x:f>SUM($E16:G16)</x:f>
        <x:v>3</x:v>
      </x:c>
      <x:c r="H18" s="3" t="n">
        <x:f>SUM($E16:H16)</x:f>
        <x:v>3</x:v>
      </x:c>
      <x:c r="I18" s="3" t="n">
        <x:f>SUM($E16:I16)</x:f>
        <x:v>3</x:v>
      </x:c>
      <x:c r="J18" s="3"/>
      <x:c r="K18" s="3"/>
      <x:c r="L18" s="3"/>
      <x:c r="M18" s="3"/>
      <x:c r="N18" s="3"/>
      <x:c r="O18" s="3"/>
      <x:c r="P18" s="3"/>
    </x:row>
    <x:row r="19" ht="20" customHeight="1">
      <x:c r="A19" s="2"/>
      <x:c r="B19" s="2"/>
      <x:c r="C19" s="2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 ht="20" customHeight="1">
      <x:c r="A20" s="2"/>
      <x:c r="B20" s="2"/>
      <x:c r="C20" s="2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 ht="20" customHeight="1">
      <x:c r="A21" s="2"/>
      <x:c r="B21" s="2"/>
      <x:c r="C21" s="21" t="str">
        <x:v>Targets and costs are hypothetical. This sheet calculates the proposed initiatives.</x:v>
      </x:c>
      <x:c r="D21" s="22"/>
      <x:c r="E21" s="22"/>
      <x:c r="F21" s="22"/>
      <x:c r="G21" s="22"/>
      <x:c r="H21" s="22"/>
      <x:c r="I21" s="22"/>
      <x:c r="J21" s="3"/>
      <x:c r="K21" s="3"/>
      <x:c r="L21" s="3"/>
      <x:c r="M21" s="3"/>
      <x:c r="N21" s="3"/>
      <x:c r="O21" s="3"/>
      <x:c r="P21" s="3"/>
    </x:row>
    <x:row r="22" ht="20" customHeight="1">
      <x:c r="A22" s="2"/>
      <x:c r="B22" s="2"/>
      <x:c r="C22" s="21" t="str">
        <x:v>They enter the forecast only when Include operating plan = 1 on Assumptions.</x:v>
      </x:c>
      <x:c r="D22" s="22"/>
      <x:c r="E22" s="22"/>
      <x:c r="F22" s="22"/>
      <x:c r="G22" s="22"/>
      <x:c r="H22" s="22"/>
      <x:c r="I22" s="22"/>
      <x:c r="J22" s="3"/>
      <x:c r="K22" s="3"/>
      <x:c r="L22" s="3"/>
      <x:c r="M22" s="3"/>
      <x:c r="N22" s="3"/>
      <x:c r="O22" s="3"/>
      <x:c r="P22" s="3"/>
    </x:row>
    <x:row r="23" ht="20" customHeight="1">
      <x:c r="A23" s="2"/>
      <x:c r="B23" s="2"/>
      <x:c r="C23" s="21" t="str">
        <x:v>Inventory release lowers the balance; only the change affects period cash flow.</x:v>
      </x:c>
      <x:c r="D23" s="22"/>
      <x:c r="E23" s="22"/>
      <x:c r="F23" s="22"/>
      <x:c r="G23" s="22"/>
      <x:c r="H23" s="22"/>
      <x:c r="I23" s="22"/>
      <x:c r="J23" s="3"/>
      <x:c r="K23" s="3"/>
      <x:c r="L23" s="3"/>
      <x:c r="M23" s="3"/>
      <x:c r="N23" s="3"/>
      <x:c r="O23" s="3"/>
      <x:c r="P23" s="3"/>
    </x:row>
    <x:row r="24" ht="20" customHeight="1">
      <x:c r="A24" s="2"/>
      <x:c r="B24" s="2"/>
      <x:c r="C24" s="21" t="str">
        <x:v>Implementation costs: pricing 25%, process yield 50%, inventory 25% of each year’s budget.</x:v>
      </x:c>
      <x:c r="D24" s="22"/>
      <x:c r="E24" s="22"/>
      <x:c r="F24" s="22"/>
      <x:c r="G24" s="22"/>
      <x:c r="H24" s="22"/>
      <x:c r="I24" s="22"/>
      <x:c r="J24" s="3"/>
      <x:c r="K24" s="3"/>
      <x:c r="L24" s="3"/>
      <x:c r="M24" s="3"/>
      <x:c r="N24" s="3"/>
      <x:c r="O24" s="3"/>
      <x:c r="P24" s="3"/>
    </x:row>
    <x:row r="25" ht="20" customHeight="1">
      <x:c r="A25" s="2"/>
      <x:c r="B25" s="2"/>
      <x:c r="C25" s="2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 ht="20" customHeight="1">
      <x:c r="A26" s="2"/>
      <x:c r="B26" s="2"/>
      <x:c r="C26" s="2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 ht="20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 ht="20" customHeight="1">
      <x:c r="A28" s="2"/>
      <x:c r="B28" s="2"/>
      <x:c r="C28" s="2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 ht="20" customHeight="1">
      <x:c r="A29" s="2"/>
      <x:c r="B29" s="2"/>
      <x:c r="C29" s="2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 ht="20" customHeight="1">
      <x:c r="A30" s="2"/>
      <x:c r="B30" s="2"/>
      <x:c r="C30" s="2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</x:row>
    <x:row r="31" ht="20" customHeight="1">
      <x:c r="A31" s="2"/>
      <x:c r="B31" s="2"/>
      <x:c r="C31" s="2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</x:row>
    <x:row r="32" ht="20" customHeight="1">
      <x:c r="A32" s="2"/>
      <x:c r="B32" s="2"/>
      <x:c r="C32" s="2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</x:row>
    <x:row r="33" ht="20" customHeight="1">
      <x:c r="A33" s="2"/>
      <x:c r="B33" s="2"/>
      <x:c r="C33" s="2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 ht="20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 ht="20" customHeight="1">
      <x:c r="A35" s="2"/>
      <x:c r="B35" s="2"/>
      <x:c r="C35" s="2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 ht="20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 ht="20" customHeight="1">
      <x:c r="A37" s="2"/>
      <x:c r="B37" s="2"/>
      <x:c r="C37" s="2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 ht="20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 ht="20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 ht="20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 ht="20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 ht="20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 ht="20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 ht="20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 ht="20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 ht="20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 ht="20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 ht="20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 ht="20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 ht="20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 ht="20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 ht="20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 ht="20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 ht="20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 ht="20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 ht="20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 ht="20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 ht="20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  <x:row r="59" ht="20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</x:row>
    <x:row r="60" ht="20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</x:row>
    <x:row r="61" ht="20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</x:row>
    <x:row r="62" ht="20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</x:row>
    <x:row r="63" ht="20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</x:row>
    <x:row r="64" ht="20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</x:row>
    <x:row r="65" ht="20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</x:row>
    <x:row r="66" ht="20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</x:row>
    <x:row r="67" ht="20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</x:row>
    <x:row r="68" ht="20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</x:row>
    <x:row r="69" ht="20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</x:row>
    <x:row r="70" ht="20" customHeight="1">
      <x:c r="A70" s="2"/>
      <x:c r="B70" s="2"/>
      <x:c r="C70" s="2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</x:row>
    <x:row r="71" ht="20" customHeight="1">
      <x:c r="A71" s="2"/>
      <x:c r="B71" s="2"/>
      <x:c r="C71" s="2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</x:row>
    <x:row r="72" ht="20" customHeight="1">
      <x:c r="A72" s="2"/>
      <x:c r="B72" s="2"/>
      <x:c r="C72" s="2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</x:row>
    <x:row r="73" ht="20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</x:row>
    <x:row r="74" ht="20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</x:row>
    <x:row r="75" ht="20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</x:row>
    <x:row r="76" ht="20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</x:row>
    <x:row r="77" ht="20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</x:row>
    <x:row r="78" ht="20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</x:row>
    <x:row r="79" ht="20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</x:row>
    <x:row r="80" ht="20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0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2"/>
      <x:c r="B2" s="2"/>
      <x:c r="C2" s="4" t="str">
        <x:v>Company Screen</x:v>
      </x:c>
      <x:c r="D2" s="5"/>
      <x:c r="E2" s="5"/>
      <x:c r="F2" s="5"/>
      <x:c r="G2" s="5"/>
      <x:c r="H2" s="5"/>
      <x:c r="I2" s="5"/>
      <x:c r="J2" s="3"/>
      <x:c r="K2" s="3"/>
      <x:c r="L2" s="3"/>
      <x:c r="M2" s="3"/>
      <x:c r="N2" s="3"/>
      <x:c r="O2" s="3"/>
      <x:c r="P2" s="3"/>
    </x:row>
    <x:row r="3" ht="20" customHeight="1">
      <x:c r="A3" s="2"/>
      <x:c r="B3" s="2"/>
      <x:c r="C3" s="6"/>
      <x:c r="D3" s="7"/>
      <x:c r="E3" s="7"/>
      <x:c r="F3" s="7"/>
      <x:c r="G3" s="7"/>
      <x:c r="H3" s="7"/>
      <x:c r="I3" s="7"/>
      <x:c r="J3" s="3"/>
      <x:c r="K3" s="3"/>
      <x:c r="L3" s="3"/>
      <x:c r="M3" s="3"/>
      <x:c r="N3" s="3"/>
      <x:c r="O3" s="3"/>
      <x:c r="P3" s="3"/>
    </x:row>
    <x:row r="4" ht="20" customHeight="1">
      <x:c r="A4" s="2"/>
      <x:c r="B4" s="2"/>
      <x:c r="C4" s="21" t="str">
        <x:v>FY2025 public-company sample. USD millions. Reported EBITDA proxy retains special items.</x:v>
      </x:c>
      <x:c r="D4" s="22"/>
      <x:c r="E4" s="22"/>
      <x:c r="F4" s="22"/>
      <x:c r="G4" s="22"/>
      <x:c r="H4" s="22"/>
      <x:c r="I4" s="22"/>
      <x:c r="J4" s="3"/>
      <x:c r="K4" s="3"/>
      <x:c r="L4" s="3"/>
      <x:c r="M4" s="3"/>
      <x:c r="N4" s="3"/>
      <x:c r="O4" s="3"/>
      <x:c r="P4" s="3"/>
    </x:row>
    <x:row r="5" ht="20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 ht="20" customHeight="1">
      <x:c r="A6" s="2"/>
      <x:c r="B6" s="2"/>
      <x:c r="C6" s="2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7" ht="20" customHeight="1">
      <x:c r="A7" s="2"/>
      <x:c r="B7" s="2"/>
      <x:c r="C7" s="15" t="str">
        <x:v>Company</x:v>
      </x:c>
      <x:c r="D7" s="16" t="str">
        <x:v>Ticker</x:v>
      </x:c>
      <x:c r="E7" s="16" t="str">
        <x:v>Revenue</x:v>
      </x:c>
      <x:c r="F7" s="16" t="str">
        <x:v>Growth</x:v>
      </x:c>
      <x:c r="G7" s="16" t="str">
        <x:v>EBITDA</x:v>
      </x:c>
      <x:c r="H7" s="16" t="str">
        <x:v>Margin</x:v>
      </x:c>
      <x:c r="I7" s="16" t="str">
        <x:v>FCF</x:v>
      </x:c>
      <x:c r="J7" s="16" t="str">
        <x:v>FCF / EBITDA</x:v>
      </x:c>
      <x:c r="K7" s="16" t="str">
        <x:v>Net leverage</x:v>
      </x:c>
      <x:c r="L7" s="16" t="str">
        <x:v>Fiscal year end</x:v>
      </x:c>
      <x:c r="M7" s="3"/>
      <x:c r="N7" s="3"/>
      <x:c r="O7" s="3"/>
      <x:c r="P7" s="3"/>
    </x:row>
    <x:row r="8" ht="20" customHeight="1">
      <x:c r="A8" s="2"/>
      <x:c r="B8" s="2"/>
      <x:c r="C8" s="70" t="str">
        <x:f>$C$20</x:f>
        <x:v>Gorman-Rupp</x:v>
      </x:c>
      <x:c r="D8" s="56" t="str">
        <x:f>$D$20</x:f>
        <x:v>GRC</x:v>
      </x:c>
      <x:c r="E8" s="56" t="n">
        <x:f>$E$20</x:f>
        <x:v>682.389</x:v>
      </x:c>
      <x:c r="F8" s="57" t="n">
        <x:f>$E$20/$F$20-1</x:f>
        <x:v>0.0344446516196808</x:v>
      </x:c>
      <x:c r="G8" s="56" t="n">
        <x:f>SUM($G$20:$H$20)</x:f>
        <x:v>123.072</x:v>
      </x:c>
      <x:c r="H8" s="57" t="n">
        <x:f>G8/E8</x:f>
        <x:v>0.1803546071229167</x:v>
      </x:c>
      <x:c r="I8" s="56" t="n">
        <x:f>$I$20-$J$20</x:f>
        <x:v>88.85199999999999</x:v>
      </x:c>
      <x:c r="J8" s="57" t="n">
        <x:f>I8/G8</x:f>
        <x:v>0.7219513780551221</x:v>
      </x:c>
      <x:c r="K8" s="58" t="n">
        <x:f>($K$20-$L$20)/G8</x:f>
        <x:v>2.2137285491419654</x:v>
      </x:c>
      <x:c r="L8" s="56" t="str">
        <x:f>$M$20</x:f>
        <x:v>2025-12-31</x:v>
      </x:c>
      <x:c r="M8" s="3"/>
      <x:c r="N8" s="3"/>
      <x:c r="O8" s="3"/>
      <x:c r="P8" s="3"/>
    </x:row>
    <x:row r="9" ht="20" customHeight="1">
      <x:c r="A9" s="2"/>
      <x:c r="B9" s="2"/>
      <x:c r="C9" s="70" t="str">
        <x:f>$C$21</x:f>
        <x:v>Graco</x:v>
      </x:c>
      <x:c r="D9" s="56" t="str">
        <x:f>$D$21</x:f>
        <x:v>GGG</x:v>
      </x:c>
      <x:c r="E9" s="56" t="n">
        <x:f>$E$21</x:f>
        <x:v>2236.604</x:v>
      </x:c>
      <x:c r="F9" s="57" t="n">
        <x:f>$E$21/$F$21-1</x:f>
        <x:v>0.05833864883434381</x:v>
      </x:c>
      <x:c r="G9" s="56" t="n">
        <x:f>SUM($G$21:$H$21)</x:f>
        <x:v>732.23</x:v>
      </x:c>
      <x:c r="H9" s="57" t="n">
        <x:f>G9/E9</x:f>
        <x:v>0.32738473149471253</x:v>
      </x:c>
      <x:c r="I9" s="56" t="n">
        <x:f>$I$21-$J$21</x:f>
        <x:v>637.922</x:v>
      </x:c>
      <x:c r="J9" s="57" t="n">
        <x:f>I9/G9</x:f>
        <x:v>0.8712044029881322</x:v>
      </x:c>
      <x:c r="K9" s="58" t="n">
        <x:f>($K$21-$L$21)/G9</x:f>
        <x:v>-0.8185774961419225</x:v>
      </x:c>
      <x:c r="L9" s="56" t="str">
        <x:f>$M$21</x:f>
        <x:v>2025-12-26</x:v>
      </x:c>
      <x:c r="M9" s="3"/>
      <x:c r="N9" s="3"/>
      <x:c r="O9" s="3"/>
      <x:c r="P9" s="3"/>
    </x:row>
    <x:row r="10" ht="20" customHeight="1">
      <x:c r="A10" s="2"/>
      <x:c r="B10" s="2"/>
      <x:c r="C10" s="70" t="str">
        <x:f>$C$22</x:f>
        <x:v>Donaldson</x:v>
      </x:c>
      <x:c r="D10" s="56" t="str">
        <x:f>$D$22</x:f>
        <x:v>DCI</x:v>
      </x:c>
      <x:c r="E10" s="56" t="n">
        <x:f>$E$22</x:f>
        <x:v>3690.9</x:v>
      </x:c>
      <x:c r="F10" s="57" t="n">
        <x:f>$E$22/$F$22-1</x:f>
        <x:v>0.02916655048378547</x:v>
      </x:c>
      <x:c r="G10" s="56" t="n">
        <x:f>SUM($G$22:$H$22)</x:f>
        <x:v>594.9</x:v>
      </x:c>
      <x:c r="H10" s="57" t="n">
        <x:f>G10/E10</x:f>
        <x:v>0.1611801999512314</x:v>
      </x:c>
      <x:c r="I10" s="56" t="n">
        <x:f>$I$22-$J$22</x:f>
        <x:v>339.9</x:v>
      </x:c>
      <x:c r="J10" s="57" t="n">
        <x:f>I10/G10</x:f>
        <x:v>0.5713565305093293</x:v>
      </x:c>
      <x:c r="K10" s="58" t="n">
        <x:f>($K$22-$L$22)/G10</x:f>
        <x:v>0.8201378382921499</x:v>
      </x:c>
      <x:c r="L10" s="56" t="str">
        <x:f>$M$22</x:f>
        <x:v>2025-07-31</x:v>
      </x:c>
      <x:c r="M10" s="3"/>
      <x:c r="N10" s="3"/>
      <x:c r="O10" s="3"/>
      <x:c r="P10" s="3"/>
    </x:row>
    <x:row r="11" ht="20" customHeight="1">
      <x:c r="A11" s="2"/>
      <x:c r="B11" s="2"/>
      <x:c r="C11" s="70" t="str">
        <x:f>$C$23</x:f>
        <x:v>Flowserve</x:v>
      </x:c>
      <x:c r="D11" s="56" t="str">
        <x:f>$D$23</x:f>
        <x:v>FLS</x:v>
      </x:c>
      <x:c r="E11" s="56" t="n">
        <x:f>$E$23</x:f>
        <x:v>4729.26</x:v>
      </x:c>
      <x:c r="F11" s="57" t="n">
        <x:f>$E$23/$F$23-1</x:f>
        <x:v>0.03761766077801476</x:v>
      </x:c>
      <x:c r="G11" s="56" t="n">
        <x:f>SUM($G$23:$H$23)</x:f>
        <x:v>495.378</x:v>
      </x:c>
      <x:c r="H11" s="57" t="n">
        <x:f>G11/E11</x:f>
        <x:v>0.10474746577688686</x:v>
      </x:c>
      <x:c r="I11" s="56" t="n">
        <x:f>$I$23-$J$23</x:f>
        <x:v>434.957</x:v>
      </x:c>
      <x:c r="J11" s="57" t="n">
        <x:f>I11/G11</x:f>
        <x:v>0.8780305140720823</x:v>
      </x:c>
      <x:c r="K11" s="58" t="n">
        <x:f>($K$23-$L$23)/G11</x:f>
        <x:v>1.6449963462244992</x:v>
      </x:c>
      <x:c r="L11" s="56" t="str">
        <x:f>$M$23</x:f>
        <x:v>2025-12-31</x:v>
      </x:c>
      <x:c r="M11" s="3"/>
      <x:c r="N11" s="3"/>
      <x:c r="O11" s="3"/>
      <x:c r="P11" s="3"/>
    </x:row>
    <x:row r="12" ht="20" customHeight="1">
      <x:c r="A12" s="2"/>
      <x:c r="B12" s="2"/>
      <x:c r="C12" s="70" t="str">
        <x:f>$C$24</x:f>
        <x:v>ITT</x:v>
      </x:c>
      <x:c r="D12" s="56" t="str">
        <x:f>$D$24</x:f>
        <x:v>ITT</x:v>
      </x:c>
      <x:c r="E12" s="56" t="n">
        <x:f>$E$24</x:f>
        <x:v>3938.5</x:v>
      </x:c>
      <x:c r="F12" s="57" t="n">
        <x:f>$E$24/$F$24-1</x:f>
        <x:v>0.08477704024017418</x:v>
      </x:c>
      <x:c r="G12" s="56" t="n">
        <x:f>SUM($G$24:$H$24)</x:f>
        <x:v>827.7</x:v>
      </x:c>
      <x:c r="H12" s="57" t="n">
        <x:f>G12/E12</x:f>
        <x:v>0.21015615081883968</x:v>
      </x:c>
      <x:c r="I12" s="56" t="n">
        <x:f>$I$24-$J$24</x:f>
        <x:v>547.5</x:v>
      </x:c>
      <x:c r="J12" s="57" t="n">
        <x:f>I12/G12</x:f>
        <x:v>0.6614715476621964</x:v>
      </x:c>
      <x:c r="K12" s="58" t="n">
        <x:f>($K$24-$L$24)/G12</x:f>
        <x:v>-1.159961338649269</x:v>
      </x:c>
      <x:c r="L12" s="56" t="str">
        <x:f>$M$24</x:f>
        <x:v>2025-12-31</x:v>
      </x:c>
      <x:c r="M12" s="3"/>
      <x:c r="N12" s="3"/>
      <x:c r="O12" s="3"/>
      <x:c r="P12" s="3"/>
    </x:row>
    <x:row r="13" ht="20" customHeight="1">
      <x:c r="A13" s="2"/>
      <x:c r="B13" s="2"/>
      <x:c r="C13" s="2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</x:row>
    <x:row r="14" ht="20" customHeight="1">
      <x:c r="A14" s="2"/>
      <x:c r="B14" s="2"/>
      <x:c r="C14" s="2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</x:row>
    <x:row r="15" ht="20" customHeight="1">
      <x:c r="A15" s="2"/>
      <x:c r="B15" s="2"/>
      <x:c r="C15" s="21" t="str">
        <x:v>FCF = CFO less gross capex. Net leverage = (book debt less cash) / EBITDA proxy.</x:v>
      </x:c>
      <x:c r="D15" s="22"/>
      <x:c r="E15" s="22"/>
      <x:c r="F15" s="22"/>
      <x:c r="G15" s="22"/>
      <x:c r="H15" s="22"/>
      <x:c r="I15" s="22"/>
      <x:c r="J15" s="3"/>
      <x:c r="K15" s="3"/>
      <x:c r="L15" s="3"/>
      <x:c r="M15" s="3"/>
      <x:c r="N15" s="3"/>
      <x:c r="O15" s="3"/>
      <x:c r="P15" s="3"/>
    </x:row>
    <x:row r="16" ht="20" customHeight="1">
      <x:c r="A16" s="2"/>
      <x:c r="B16" s="2"/>
      <x:c r="C16" s="21" t="str">
        <x:v>No live market multiples. These records are research candidates, not available acquisitions.</x:v>
      </x:c>
      <x:c r="D16" s="22"/>
      <x:c r="E16" s="22"/>
      <x:c r="F16" s="22"/>
      <x:c r="G16" s="22"/>
      <x:c r="H16" s="22"/>
      <x:c r="I16" s="22"/>
      <x:c r="J16" s="3"/>
      <x:c r="K16" s="3"/>
      <x:c r="L16" s="3"/>
      <x:c r="M16" s="3"/>
      <x:c r="N16" s="3"/>
      <x:c r="O16" s="3"/>
      <x:c r="P16" s="3"/>
    </x:row>
    <x:row r="17" ht="20" customHeight="1">
      <x:c r="A17" s="2"/>
      <x:c r="B17" s="2"/>
      <x:c r="C17" s="2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 ht="20" customHeight="1">
      <x:c r="A18" s="2"/>
      <x:c r="B18" s="2"/>
      <x:c r="C18" s="2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 ht="20" customHeight="1">
      <x:c r="A19" s="2"/>
      <x:c r="B19" s="2"/>
      <x:c r="C19" s="65" t="str">
        <x:v>Company</x:v>
      </x:c>
      <x:c r="D19" s="66" t="str">
        <x:v>Ticker</x:v>
      </x:c>
      <x:c r="E19" s="66" t="str">
        <x:v>Revenue</x:v>
      </x:c>
      <x:c r="F19" s="66" t="str">
        <x:v>Prior revenue</x:v>
      </x:c>
      <x:c r="G19" s="66" t="str">
        <x:v>EBIT</x:v>
      </x:c>
      <x:c r="H19" s="66" t="str">
        <x:v>D&amp;A</x:v>
      </x:c>
      <x:c r="I19" s="66" t="str">
        <x:v>CFO</x:v>
      </x:c>
      <x:c r="J19" s="66" t="str">
        <x:v>Capex</x:v>
      </x:c>
      <x:c r="K19" s="66" t="str">
        <x:v>Book debt</x:v>
      </x:c>
      <x:c r="L19" s="66" t="str">
        <x:v>Cash</x:v>
      </x:c>
      <x:c r="M19" s="66" t="str">
        <x:v>Fiscal year end</x:v>
      </x:c>
      <x:c r="N19" s="3"/>
      <x:c r="O19" s="3"/>
      <x:c r="P19" s="3"/>
    </x:row>
    <x:row r="20" ht="20" customHeight="1">
      <x:c r="A20" s="2"/>
      <x:c r="B20" s="2"/>
      <x:c r="C20" s="2" t="str">
        <x:v>Gorman-Rupp</x:v>
      </x:c>
      <x:c r="D20" s="3" t="str">
        <x:v>GRC</x:v>
      </x:c>
      <x:c r="E20" s="20" t="n">
        <x:v>682.389</x:v>
      </x:c>
      <x:c r="F20" s="20" t="n">
        <x:v>659.667</x:v>
      </x:c>
      <x:c r="G20" s="20" t="n">
        <x:v>95.363</x:v>
      </x:c>
      <x:c r="H20" s="20" t="n">
        <x:v>27.709</x:v>
      </x:c>
      <x:c r="I20" s="20" t="n">
        <x:v>106.228</x:v>
      </x:c>
      <x:c r="J20" s="20" t="n">
        <x:v>17.376</x:v>
      </x:c>
      <x:c r="K20" s="20" t="n">
        <x:v>307.531</x:v>
      </x:c>
      <x:c r="L20" s="20" t="n">
        <x:v>35.083</x:v>
      </x:c>
      <x:c r="M20" s="3" t="str">
        <x:v>2025-12-31</x:v>
      </x:c>
      <x:c r="N20" s="3"/>
      <x:c r="O20" s="3"/>
      <x:c r="P20" s="3"/>
    </x:row>
    <x:row r="21" ht="20" customHeight="1">
      <x:c r="A21" s="2"/>
      <x:c r="B21" s="2"/>
      <x:c r="C21" s="2" t="str">
        <x:v>Graco</x:v>
      </x:c>
      <x:c r="D21" s="3" t="str">
        <x:v>GGG</x:v>
      </x:c>
      <x:c r="E21" s="20" t="n">
        <x:v>2236.604</x:v>
      </x:c>
      <x:c r="F21" s="20" t="n">
        <x:v>2113.316</x:v>
      </x:c>
      <x:c r="G21" s="20" t="n">
        <x:v>624.797</x:v>
      </x:c>
      <x:c r="H21" s="20" t="n">
        <x:v>107.433</x:v>
      </x:c>
      <x:c r="I21" s="20" t="n">
        <x:v>683.591</x:v>
      </x:c>
      <x:c r="J21" s="20" t="n">
        <x:v>45.669</x:v>
      </x:c>
      <x:c r="K21" s="20" t="n">
        <x:v>24.696</x:v>
      </x:c>
      <x:c r="L21" s="20" t="n">
        <x:v>624.083</x:v>
      </x:c>
      <x:c r="M21" s="3" t="str">
        <x:v>2025-12-26</x:v>
      </x:c>
      <x:c r="N21" s="3"/>
      <x:c r="O21" s="3"/>
      <x:c r="P21" s="3"/>
    </x:row>
    <x:row r="22" ht="20" customHeight="1">
      <x:c r="A22" s="2"/>
      <x:c r="B22" s="2"/>
      <x:c r="C22" s="2" t="str">
        <x:v>Donaldson</x:v>
      </x:c>
      <x:c r="D22" s="3" t="str">
        <x:v>DCI</x:v>
      </x:c>
      <x:c r="E22" s="20" t="n">
        <x:v>3690.9</x:v>
      </x:c>
      <x:c r="F22" s="20" t="n">
        <x:v>3586.3</x:v>
      </x:c>
      <x:c r="G22" s="20" t="n">
        <x:v>495.4</x:v>
      </x:c>
      <x:c r="H22" s="20" t="n">
        <x:v>99.5</x:v>
      </x:c>
      <x:c r="I22" s="20" t="n">
        <x:v>418.8</x:v>
      </x:c>
      <x:c r="J22" s="20" t="n">
        <x:v>78.9</x:v>
      </x:c>
      <x:c r="K22" s="20" t="n">
        <x:v>668.3</x:v>
      </x:c>
      <x:c r="L22" s="20" t="n">
        <x:v>180.4</x:v>
      </x:c>
      <x:c r="M22" s="3" t="str">
        <x:v>2025-07-31</x:v>
      </x:c>
      <x:c r="N22" s="3"/>
      <x:c r="O22" s="3"/>
      <x:c r="P22" s="3"/>
    </x:row>
    <x:row r="23" ht="20" customHeight="1">
      <x:c r="A23" s="2"/>
      <x:c r="B23" s="2"/>
      <x:c r="C23" s="2" t="str">
        <x:v>Flowserve</x:v>
      </x:c>
      <x:c r="D23" s="3" t="str">
        <x:v>FLS</x:v>
      </x:c>
      <x:c r="E23" s="20" t="n">
        <x:v>4729.26</x:v>
      </x:c>
      <x:c r="F23" s="20" t="n">
        <x:v>4557.806</x:v>
      </x:c>
      <x:c r="G23" s="20" t="n">
        <x:v>399.924</x:v>
      </x:c>
      <x:c r="H23" s="20" t="n">
        <x:v>95.454</x:v>
      </x:c>
      <x:c r="I23" s="20" t="n">
        <x:v>505.884</x:v>
      </x:c>
      <x:c r="J23" s="20" t="n">
        <x:v>70.927</x:v>
      </x:c>
      <x:c r="K23" s="20" t="n">
        <x:v>1575.078</x:v>
      </x:c>
      <x:c r="L23" s="20" t="n">
        <x:v>760.183</x:v>
      </x:c>
      <x:c r="M23" s="3" t="str">
        <x:v>2025-12-31</x:v>
      </x:c>
      <x:c r="N23" s="3"/>
      <x:c r="O23" s="3"/>
      <x:c r="P23" s="3"/>
    </x:row>
    <x:row r="24" ht="20" customHeight="1">
      <x:c r="A24" s="2"/>
      <x:c r="B24" s="2"/>
      <x:c r="C24" s="2" t="str">
        <x:v>ITT</x:v>
      </x:c>
      <x:c r="D24" s="3" t="str">
        <x:v>ITT</x:v>
      </x:c>
      <x:c r="E24" s="20" t="n">
        <x:v>3938.5</x:v>
      </x:c>
      <x:c r="F24" s="20" t="n">
        <x:v>3630.7</x:v>
      </x:c>
      <x:c r="G24" s="20" t="n">
        <x:v>684.5</x:v>
      </x:c>
      <x:c r="H24" s="20" t="n">
        <x:v>143.2</x:v>
      </x:c>
      <x:c r="I24" s="20" t="n">
        <x:v>668.8</x:v>
      </x:c>
      <x:c r="J24" s="20" t="n">
        <x:v>121.3</x:v>
      </x:c>
      <x:c r="K24" s="20" t="n">
        <x:v>782.8</x:v>
      </x:c>
      <x:c r="L24" s="20" t="n">
        <x:v>1742.9</x:v>
      </x:c>
      <x:c r="M24" s="3" t="str">
        <x:v>2025-12-31</x:v>
      </x:c>
      <x:c r="N24" s="3"/>
      <x:c r="O24" s="3"/>
      <x:c r="P24" s="3"/>
    </x:row>
    <x:row r="25" ht="20" customHeight="1">
      <x:c r="A25" s="2"/>
      <x:c r="B25" s="2"/>
      <x:c r="C25" s="2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 ht="20" customHeight="1">
      <x:c r="A26" s="2"/>
      <x:c r="B26" s="2"/>
      <x:c r="C26" s="2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 ht="20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 ht="20" customHeight="1">
      <x:c r="A28" s="2"/>
      <x:c r="B28" s="2"/>
      <x:c r="C28" s="68" t="str">
        <x:v>GRC: The operating EBITDA proxy retains facility charges and LIFO expense. Verify add-backs and pension obligations before underwriting.</x:v>
      </x:c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3"/>
      <x:c r="O28" s="3"/>
      <x:c r="P28" s="3"/>
    </x:row>
    <x:row r="29" ht="20" customHeight="1">
      <x:c r="A29" s="2"/>
      <x:c r="B29" s="2"/>
      <x:c r="C29" s="68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3"/>
      <x:c r="O29" s="3"/>
      <x:c r="P29" s="3"/>
    </x:row>
    <x:row r="30" ht="20" customHeight="1">
      <x:c r="A30" s="2"/>
      <x:c r="B30" s="2"/>
      <x:c r="C30" s="2" t="str">
        <x:v>https://www.sec.gov/Archives/edgar/data/42682/000119312526084820/grc-20251231.htm</x:v>
      </x:c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</x:row>
    <x:row r="31" ht="20" customHeight="1">
      <x:c r="A31" s="2"/>
      <x:c r="B31" s="2"/>
      <x:c r="C31" s="2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</x:row>
    <x:row r="32" ht="20" customHeight="1">
      <x:c r="A32" s="2"/>
      <x:c r="B32" s="2"/>
      <x:c r="C32" s="68" t="str">
        <x:v>GGG: Reported operating profit includes a $14.061m contingent consideration benefit. This proxy retains it; normalize before valuation.</x:v>
      </x:c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3"/>
      <x:c r="O32" s="3"/>
      <x:c r="P32" s="3"/>
    </x:row>
    <x:row r="33" ht="20" customHeight="1">
      <x:c r="A33" s="2"/>
      <x:c r="B33" s="2"/>
      <x:c r="C33" s="68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3"/>
      <x:c r="O33" s="3"/>
      <x:c r="P33" s="3"/>
    </x:row>
    <x:row r="34" ht="20" customHeight="1">
      <x:c r="A34" s="2"/>
      <x:c r="B34" s="2"/>
      <x:c r="C34" s="2" t="str">
        <x:v>https://www.sec.gov/Archives/edgar/data/42888/000004288826000019/ggg01262026exhibit991q4.htm</x:v>
      </x:c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 ht="20" customHeight="1">
      <x:c r="A35" s="2"/>
      <x:c r="B35" s="2"/>
      <x:c r="C35" s="2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 ht="20" customHeight="1">
      <x:c r="A36" s="2"/>
      <x:c r="B36" s="2"/>
      <x:c r="C36" s="68" t="str">
        <x:v>DCI: July fiscal year. Reported earnings include $62m of impairment expense. FCF here excludes proceeds from asset sales.</x:v>
      </x:c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3"/>
      <x:c r="O36" s="3"/>
      <x:c r="P36" s="3"/>
    </x:row>
    <x:row r="37" ht="20" customHeight="1">
      <x:c r="A37" s="2"/>
      <x:c r="B37" s="2"/>
      <x:c r="C37" s="68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3"/>
      <x:c r="O37" s="3"/>
      <x:c r="P37" s="3"/>
    </x:row>
    <x:row r="38" ht="20" customHeight="1">
      <x:c r="A38" s="2"/>
      <x:c r="B38" s="2"/>
      <x:c r="C38" s="2" t="str">
        <x:v>https://ir.donaldson.com/news/news-details/2025/Donaldson-Reports-Record-Fourth-Quarter-Full-Year-2025-Sales-and-Earnings/default.aspx</x:v>
      </x:c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 ht="20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 ht="20" customHeight="1">
      <x:c r="A40" s="2"/>
      <x:c r="B40" s="2"/>
      <x:c r="C40" s="68" t="str">
        <x:v>FLS: Operating income includes a $140.092m asbestos divestiture loss; CFO includes a $199m related cash contribution. Normalize both together.</x:v>
      </x:c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3"/>
      <x:c r="O40" s="3"/>
      <x:c r="P40" s="3"/>
    </x:row>
    <x:row r="41" ht="20" customHeight="1">
      <x:c r="A41" s="2"/>
      <x:c r="B41" s="2"/>
      <x:c r="C41" s="68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3"/>
      <x:c r="O41" s="3"/>
      <x:c r="P41" s="3"/>
    </x:row>
    <x:row r="42" ht="20" customHeight="1">
      <x:c r="A42" s="2"/>
      <x:c r="B42" s="2"/>
      <x:c r="C42" s="2" t="str">
        <x:v>https://ir.flowserve.com/news-events/news-details/2026/Flowserve-Corporation-Reports-Fourth-Quarter-and-Full-Year-2025-Results/default.aspx</x:v>
      </x:c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 ht="20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 ht="20" customHeight="1">
      <x:c r="A44" s="2"/>
      <x:c r="B44" s="2"/>
      <x:c r="C44" s="68" t="str">
        <x:v>ITT: Year-end cash reflects an equity raise ahead of SPX FLOW. Net cash is not a steady-state financing assumption. FCF excludes $7.9m of capex incentives.</x:v>
      </x:c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3"/>
      <x:c r="O44" s="3"/>
      <x:c r="P44" s="3"/>
    </x:row>
    <x:row r="45" ht="20" customHeight="1">
      <x:c r="A45" s="2"/>
      <x:c r="B45" s="2"/>
      <x:c r="C45" s="68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3"/>
      <x:c r="O45" s="3"/>
      <x:c r="P45" s="3"/>
    </x:row>
    <x:row r="46" ht="20" customHeight="1">
      <x:c r="A46" s="2"/>
      <x:c r="B46" s="2"/>
      <x:c r="C46" s="2" t="str">
        <x:v>https://investors.itt.com/news-releases/news-release-details/itt-reports-fourth-quarter-earnings-share-eps-164-adjusted-eps</x:v>
      </x:c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 ht="20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 ht="20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 ht="20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 ht="20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 ht="20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 ht="20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 ht="20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 ht="20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 ht="20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 ht="20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 ht="20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 ht="20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  <x:row r="59" ht="20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</x:row>
    <x:row r="60" ht="20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</x:row>
    <x:row r="61" ht="20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</x:row>
    <x:row r="62" ht="20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</x:row>
    <x:row r="63" ht="20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</x:row>
    <x:row r="64" ht="20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</x:row>
    <x:row r="65" ht="20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</x:row>
    <x:row r="66" ht="20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</x:row>
    <x:row r="67" ht="20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</x:row>
    <x:row r="68" ht="20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</x:row>
    <x:row r="69" ht="20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</x:row>
    <x:row r="70" ht="20" customHeight="1">
      <x:c r="A70" s="2"/>
      <x:c r="B70" s="2"/>
      <x:c r="C70" s="2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</x:row>
    <x:row r="71" ht="20" customHeight="1">
      <x:c r="A71" s="2"/>
      <x:c r="B71" s="2"/>
      <x:c r="C71" s="2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</x:row>
    <x:row r="72" ht="20" customHeight="1">
      <x:c r="A72" s="2"/>
      <x:c r="B72" s="2"/>
      <x:c r="C72" s="2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</x:row>
    <x:row r="73" ht="20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</x:row>
    <x:row r="74" ht="20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</x:row>
    <x:row r="75" ht="20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</x:row>
    <x:row r="76" ht="20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</x:row>
    <x:row r="77" ht="20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</x:row>
    <x:row r="78" ht="20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</x:row>
    <x:row r="79" ht="20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</x:row>
    <x:row r="80" ht="20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</x:row>
  </x:sheetData>
  <x:mergeCells>
    <x:mergeCell ref="C28:M29"/>
    <x:mergeCell ref="C32:M33"/>
    <x:mergeCell ref="C36:M37"/>
    <x:mergeCell ref="C40:M41"/>
    <x:mergeCell ref="C44:M45"/>
  </x:mergeCells>
  <x:pageMargins left="0.7" right="0.7" top="0.75" bottom="0.75" header="0.3" footer="0.3"/>
  <x:tableParts count="1">
    <x:tablePart xmlns:r="http://schemas.openxmlformats.org/officeDocument/2006/relationships" r:id="R0811e24f6b764f9b"/>
  </x:tableParts>
</x:worksheet>
</file>

<file path=xl/worksheets/sheet8.xml><?xml version="1.0" encoding="utf-8"?>
<x:worksheet xmlns:x="http://schemas.openxmlformats.org/spreadsheetml/2006/main">
  <x:sheetPr>
    <x:tabColor rgb="FFD5C7AC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0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2"/>
      <x:c r="B2" s="2"/>
      <x:c r="C2" s="4" t="str">
        <x:v>Inputs</x:v>
      </x:c>
      <x:c r="D2" s="5"/>
      <x:c r="E2" s="5"/>
      <x:c r="F2" s="5"/>
      <x:c r="G2" s="5"/>
      <x:c r="H2" s="5"/>
      <x:c r="I2" s="5"/>
      <x:c r="J2" s="3"/>
      <x:c r="K2" s="3"/>
      <x:c r="L2" s="3"/>
      <x:c r="M2" s="3"/>
      <x:c r="N2" s="3"/>
      <x:c r="O2" s="3"/>
      <x:c r="P2" s="3"/>
    </x:row>
    <x:row r="3" ht="20" customHeight="1">
      <x:c r="A3" s="2"/>
      <x:c r="B3" s="2"/>
      <x:c r="C3" s="6"/>
      <x:c r="D3" s="7"/>
      <x:c r="E3" s="7"/>
      <x:c r="F3" s="7"/>
      <x:c r="G3" s="7"/>
      <x:c r="H3" s="7"/>
      <x:c r="I3" s="7"/>
      <x:c r="J3" s="3"/>
      <x:c r="K3" s="3"/>
      <x:c r="L3" s="3"/>
      <x:c r="M3" s="3"/>
      <x:c r="N3" s="3"/>
      <x:c r="O3" s="3"/>
      <x:c r="P3" s="3"/>
    </x:row>
    <x:row r="4" ht="20" customHeight="1">
      <x:c r="A4" s="2"/>
      <x:c r="B4" s="2"/>
      <x:c r="C4" s="2" t="str">
        <x:v>USD millions; reported annual financials</x:v>
      </x:c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20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 ht="20" customHeight="1">
      <x:c r="A6" s="2"/>
      <x:c r="B6" s="2"/>
      <x:c r="C6" s="2"/>
      <x:c r="D6" s="3" t="str">
        <x:v>2024A</x:v>
      </x:c>
      <x:c r="E6" s="3" t="str">
        <x:v>2025A</x:v>
      </x:c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7" ht="20" customHeight="1">
      <x:c r="A7" s="2"/>
      <x:c r="B7" s="2"/>
      <x:c r="C7" s="2" t="str">
        <x:v>Revenue</x:v>
      </x:c>
      <x:c r="D7" s="20" t="n">
        <x:v>659.667</x:v>
      </x:c>
      <x:c r="E7" s="20" t="n">
        <x:v>682.389</x:v>
      </x:c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</x:row>
    <x:row r="8" ht="20" customHeight="1">
      <x:c r="A8" s="2"/>
      <x:c r="B8" s="2"/>
      <x:c r="C8" s="2" t="str">
        <x:v>Cost of products sold</x:v>
      </x:c>
      <x:c r="D8" s="20" t="n">
        <x:v>455.339</x:v>
      </x:c>
      <x:c r="E8" s="20" t="n">
        <x:v>473.242</x:v>
      </x:c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  <x:row r="9" ht="20" customHeight="1">
      <x:c r="A9" s="2"/>
      <x:c r="B9" s="2"/>
      <x:c r="C9" s="2" t="str">
        <x:v>Operating income</x:v>
      </x:c>
      <x:c r="D9" s="20" t="n">
        <x:v>91.443</x:v>
      </x:c>
      <x:c r="E9" s="20" t="n">
        <x:v>95.363</x:v>
      </x:c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</x:row>
    <x:row r="10" ht="20" customHeight="1">
      <x:c r="A10" s="2"/>
      <x:c r="B10" s="2"/>
      <x:c r="C10" s="2" t="str">
        <x:v>Net income</x:v>
      </x:c>
      <x:c r="D10" s="20" t="n">
        <x:v>40.115</x:v>
      </x:c>
      <x:c r="E10" s="20" t="n">
        <x:v>53.017</x:v>
      </x:c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</x:row>
    <x:row r="11" ht="20" customHeight="1">
      <x:c r="A11" s="2"/>
      <x:c r="B11" s="2"/>
      <x:c r="C11" s="2" t="str">
        <x:v>Depreciation and amortization</x:v>
      </x:c>
      <x:c r="D11" s="20" t="n">
        <x:v>27.897</x:v>
      </x:c>
      <x:c r="E11" s="20" t="n">
        <x:v>27.709</x:v>
      </x:c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 ht="20" customHeight="1">
      <x:c r="A12" s="2"/>
      <x:c r="B12" s="2"/>
      <x:c r="C12" s="2" t="str">
        <x:v>Interest expense</x:v>
      </x:c>
      <x:c r="D12" s="20" t="n">
        <x:v>33.621</x:v>
      </x:c>
      <x:c r="E12" s="20" t="n">
        <x:v>23.396</x:v>
      </x:c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 ht="20" customHeight="1">
      <x:c r="A13" s="2"/>
      <x:c r="B13" s="2"/>
      <x:c r="C13" s="2" t="str">
        <x:v>Income tax expense</x:v>
      </x:c>
      <x:c r="D13" s="20" t="n">
        <x:v>10.378</x:v>
      </x:c>
      <x:c r="E13" s="20" t="n">
        <x:v>16.147</x:v>
      </x:c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</x:row>
    <x:row r="14" ht="20" customHeight="1">
      <x:c r="A14" s="2"/>
      <x:c r="B14" s="2"/>
      <x:c r="C14" s="2" t="str">
        <x:v>Operating cash flow</x:v>
      </x:c>
      <x:c r="D14" s="20" t="n">
        <x:v>69.83</x:v>
      </x:c>
      <x:c r="E14" s="20" t="n">
        <x:v>106.228</x:v>
      </x:c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</x:row>
    <x:row r="15" ht="20" customHeight="1">
      <x:c r="A15" s="2"/>
      <x:c r="B15" s="2"/>
      <x:c r="C15" s="2" t="str">
        <x:v>Gross capital expenditure</x:v>
      </x:c>
      <x:c r="D15" s="20" t="n">
        <x:v>14.319</x:v>
      </x:c>
      <x:c r="E15" s="20" t="n">
        <x:v>17.376</x:v>
      </x:c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 ht="20" customHeight="1">
      <x:c r="A16" s="2"/>
      <x:c r="B16" s="2"/>
      <x:c r="C16" s="2" t="str">
        <x:v>Cash and cash equivalents</x:v>
      </x:c>
      <x:c r="D16" s="20" t="n">
        <x:v>24.213</x:v>
      </x:c>
      <x:c r="E16" s="20" t="n">
        <x:v>35.083</x:v>
      </x:c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 ht="20" customHeight="1">
      <x:c r="A17" s="2"/>
      <x:c r="B17" s="2"/>
      <x:c r="C17" s="2" t="str">
        <x:v>Book debt</x:v>
      </x:c>
      <x:c r="D17" s="20" t="n">
        <x:v>366.597</x:v>
      </x:c>
      <x:c r="E17" s="20" t="n">
        <x:v>307.531</x:v>
      </x:c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 ht="20" customHeight="1">
      <x:c r="A18" s="2"/>
      <x:c r="B18" s="2"/>
      <x:c r="C18" s="2" t="str">
        <x:v>Receivables</x:v>
      </x:c>
      <x:c r="D18" s="20" t="n">
        <x:v>87.636</x:v>
      </x:c>
      <x:c r="E18" s="20" t="n">
        <x:v>88.378</x:v>
      </x:c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 ht="20" customHeight="1">
      <x:c r="A19" s="2"/>
      <x:c r="B19" s="2"/>
      <x:c r="C19" s="2" t="str">
        <x:v>Inventory</x:v>
      </x:c>
      <x:c r="D19" s="20" t="n">
        <x:v>99.205</x:v>
      </x:c>
      <x:c r="E19" s="20" t="n">
        <x:v>96.457</x:v>
      </x:c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 ht="20" customHeight="1">
      <x:c r="A20" s="2"/>
      <x:c r="B20" s="2"/>
      <x:c r="C20" s="2" t="str">
        <x:v>Prepaid / other current assets</x:v>
      </x:c>
      <x:c r="D20" s="20" t="n">
        <x:v>9.773</x:v>
      </x:c>
      <x:c r="E20" s="20" t="n">
        <x:v>13.776</x:v>
      </x:c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 ht="20" customHeight="1">
      <x:c r="A21" s="2"/>
      <x:c r="B21" s="2"/>
      <x:c r="C21" s="2" t="str">
        <x:v>Accounts payable</x:v>
      </x:c>
      <x:c r="D21" s="20" t="n">
        <x:v>24.752</x:v>
      </x:c>
      <x:c r="E21" s="20" t="n">
        <x:v>25.885</x:v>
      </x:c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 ht="20" customHeight="1">
      <x:c r="A22" s="2"/>
      <x:c r="B22" s="2"/>
      <x:c r="C22" s="2" t="str">
        <x:v>Accrued liabilities</x:v>
      </x:c>
      <x:c r="D22" s="20" t="n">
        <x:v>44.275</x:v>
      </x:c>
      <x:c r="E22" s="20" t="n">
        <x:v>49.602</x:v>
      </x:c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 ht="20" customHeight="1">
      <x:c r="A23" s="2"/>
      <x:c r="B23" s="2"/>
      <x:c r="C23" s="2" t="str">
        <x:v>Assumed debt payoff (hypothetical)</x:v>
      </x:c>
      <x:c r="D23" s="3"/>
      <x:c r="E23" s="20" t="n">
        <x:v>310.75</x:v>
      </x:c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 ht="20" customHeight="1">
      <x:c r="A24" s="2"/>
      <x:c r="B24" s="2"/>
      <x:c r="C24" s="2" t="str">
        <x:v>Company-reported adjusted EBITDA</x:v>
      </x:c>
      <x:c r="D24" s="20" t="n">
        <x:v>124.646</x:v>
      </x:c>
      <x:c r="E24" s="20" t="n">
        <x:v>128.791</x:v>
      </x:c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 ht="20" customHeight="1">
      <x:c r="A25" s="2"/>
      <x:c r="B25" s="2"/>
      <x:c r="C25" s="2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 ht="20" customHeight="1">
      <x:c r="A26" s="2"/>
      <x:c r="B26" s="2"/>
      <x:c r="C26" s="21" t="str">
        <x:v>Source: audited FY2025 10-K, March 2, 2026, pp.29-31.</x:v>
      </x:c>
      <x:c r="D26" s="22"/>
      <x:c r="E26" s="22"/>
      <x:c r="F26" s="22"/>
      <x:c r="G26" s="22"/>
      <x:c r="H26" s="22"/>
      <x:c r="I26" s="22"/>
      <x:c r="J26" s="3"/>
      <x:c r="K26" s="3"/>
      <x:c r="L26" s="3"/>
      <x:c r="M26" s="3"/>
      <x:c r="N26" s="3"/>
      <x:c r="O26" s="3"/>
      <x:c r="P26" s="3"/>
    </x:row>
    <x:row r="27" ht="20" customHeight="1">
      <x:c r="A27" s="2"/>
      <x:c r="B27" s="2"/>
      <x:c r="C27" s="23" t="str">
        <x:v>https://www.sec.gov/Archives/edgar/data/42682/000119312526084820/grc-20251231.htm</x:v>
      </x:c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 ht="20" customHeight="1">
      <x:c r="A28" s="2"/>
      <x:c r="B28" s="2"/>
      <x:c r="C28" s="2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 ht="20" customHeight="1">
      <x:c r="A29" s="2"/>
      <x:c r="B29" s="2"/>
      <x:c r="C29" s="21" t="str">
        <x:v>Audited statements. Data checked September 23, 2026. Model version 2.</x:v>
      </x:c>
      <x:c r="D29" s="22"/>
      <x:c r="E29" s="22"/>
      <x:c r="F29" s="22"/>
      <x:c r="G29" s="22"/>
      <x:c r="H29" s="22"/>
      <x:c r="I29" s="22"/>
      <x:c r="J29" s="3"/>
      <x:c r="K29" s="3"/>
      <x:c r="L29" s="3"/>
      <x:c r="M29" s="3"/>
      <x:c r="N29" s="3"/>
      <x:c r="O29" s="3"/>
      <x:c r="P29" s="3"/>
    </x:row>
    <x:row r="30" ht="20" customHeight="1">
      <x:c r="A30" s="2"/>
      <x:c r="B30" s="2"/>
      <x:c r="C30" s="21" t="str">
        <x:v>Payoff is an assumption. Confirm principal, accrued interest and break costs in diligence.</x:v>
      </x:c>
      <x:c r="D30" s="22"/>
      <x:c r="E30" s="22"/>
      <x:c r="F30" s="22"/>
      <x:c r="G30" s="22"/>
      <x:c r="H30" s="22"/>
      <x:c r="I30" s="22"/>
      <x:c r="J30" s="3"/>
      <x:c r="K30" s="3"/>
      <x:c r="L30" s="3"/>
      <x:c r="M30" s="3"/>
      <x:c r="N30" s="3"/>
      <x:c r="O30" s="3"/>
      <x:c r="P30" s="3"/>
    </x:row>
    <x:row r="31" ht="20" customHeight="1">
      <x:c r="A31" s="2"/>
      <x:c r="B31" s="2"/>
      <x:c r="C31" s="21" t="str">
        <x:v>Book debt includes carrying-value adjustments; it is not assumed to equal debt repayment.</x:v>
      </x:c>
      <x:c r="D31" s="22"/>
      <x:c r="E31" s="22"/>
      <x:c r="F31" s="22"/>
      <x:c r="G31" s="22"/>
      <x:c r="H31" s="22"/>
      <x:c r="I31" s="22"/>
      <x:c r="J31" s="3"/>
      <x:c r="K31" s="3"/>
      <x:c r="L31" s="3"/>
      <x:c r="M31" s="3"/>
      <x:c r="N31" s="3"/>
      <x:c r="O31" s="3"/>
      <x:c r="P31" s="3"/>
    </x:row>
    <x:row r="32" ht="20" customHeight="1">
      <x:c r="A32" s="2"/>
      <x:c r="B32" s="2"/>
      <x:c r="C32" s="21" t="str">
        <x:v>Operating EBITDA uses operating income + D&amp;A; management adjustments are separate.</x:v>
      </x:c>
      <x:c r="D32" s="22"/>
      <x:c r="E32" s="22"/>
      <x:c r="F32" s="22"/>
      <x:c r="G32" s="22"/>
      <x:c r="H32" s="22"/>
      <x:c r="I32" s="22"/>
      <x:c r="J32" s="3"/>
      <x:c r="K32" s="3"/>
      <x:c r="L32" s="3"/>
      <x:c r="M32" s="3"/>
      <x:c r="N32" s="3"/>
      <x:c r="O32" s="3"/>
      <x:c r="P32" s="3"/>
    </x:row>
    <x:row r="33" ht="20" customHeight="1">
      <x:c r="A33" s="2"/>
      <x:c r="B33" s="2"/>
      <x:c r="C33" s="2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 ht="20" customHeight="1">
      <x:c r="A34" s="2"/>
      <x:c r="B34" s="2"/>
      <x:c r="C34" s="2" t="str">
        <x:v>Adjusted EBITDA source: FY2025 earnings reconciliation, February 6, 2026.</x:v>
      </x:c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 ht="20" customHeight="1">
      <x:c r="A35" s="2"/>
      <x:c r="B35" s="2"/>
      <x:c r="C35" s="2" t="str">
        <x:v>https://www.sec.gov/Archives/edgar/data/42682/000119312526040888/grc-ex99.htm</x:v>
      </x:c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 ht="20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 ht="20" customHeight="1">
      <x:c r="A37" s="2"/>
      <x:c r="B37" s="2"/>
      <x:c r="C37" s="2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 ht="20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 ht="20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 ht="20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 ht="20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 ht="20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 ht="20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 ht="20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 ht="20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 ht="20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 ht="20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 ht="20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 ht="20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 ht="20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 ht="20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 ht="20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 ht="20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 ht="20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 ht="20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 ht="20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 ht="20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 ht="20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  <x:row r="59" ht="20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</x:row>
    <x:row r="60" ht="20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</x:row>
    <x:row r="61" ht="20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</x:row>
    <x:row r="62" ht="20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</x:row>
    <x:row r="63" ht="20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</x:row>
    <x:row r="64" ht="20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</x:row>
    <x:row r="65" ht="20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</x:row>
    <x:row r="66" ht="20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</x:row>
    <x:row r="67" ht="20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</x:row>
    <x:row r="68" ht="20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</x:row>
    <x:row r="69" ht="20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</x:row>
    <x:row r="70" ht="20" customHeight="1">
      <x:c r="A70" s="2"/>
      <x:c r="B70" s="2"/>
      <x:c r="C70" s="2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</x:row>
    <x:row r="71" ht="20" customHeight="1">
      <x:c r="A71" s="2"/>
      <x:c r="B71" s="2"/>
      <x:c r="C71" s="2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</x:row>
    <x:row r="72" ht="20" customHeight="1">
      <x:c r="A72" s="2"/>
      <x:c r="B72" s="2"/>
      <x:c r="C72" s="2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</x:row>
    <x:row r="73" ht="20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</x:row>
    <x:row r="74" ht="20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</x:row>
    <x:row r="75" ht="20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</x:row>
    <x:row r="76" ht="20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</x:row>
    <x:row r="77" ht="20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</x:row>
    <x:row r="78" ht="20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</x:row>
    <x:row r="79" ht="20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</x:row>
    <x:row r="80" ht="20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</x:row>
  </x:sheetData>
  <x:pageMargins left="0.7" right="0.7" top="0.75" bottom="0.75" header="0.3" footer="0.3"/>
</x:worksheet>
</file>